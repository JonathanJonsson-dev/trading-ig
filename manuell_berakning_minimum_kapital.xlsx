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tru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lad1" sheetId="1" state="visible" r:id="rId3"/>
    <sheet name="IG marknader" sheetId="2" state="visible" r:id="rId4"/>
    <sheet name="Norgate tickers" sheetId="3" state="visible" r:id="rId5"/>
    <sheet name="Norgate tickers old" sheetId="4" state="visible" r:id="rId6"/>
  </sheets>
  <calcPr iterateCount="100" refMode="A1" iterate="tru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<sst xmlns="http://schemas.openxmlformats.org/spreadsheetml/2006/main" count="1392" uniqueCount="646">
  <si>
    <t xml:space="preserve">Namn</t>
  </si>
  <si>
    <t xml:space="preserve">Product</t>
  </si>
  <si>
    <t xml:space="preserve">Asset class</t>
  </si>
  <si>
    <t xml:space="preserve">FX</t>
  </si>
  <si>
    <t xml:space="preserve">Minimum contract</t>
  </si>
  <si>
    <t xml:space="preserve">Current Price</t>
  </si>
  <si>
    <t xml:space="preserve">Multiplier</t>
  </si>
  <si>
    <t xml:space="preserve">Minimum Exposure</t>
  </si>
  <si>
    <t xml:space="preserve">Instrument risk</t>
  </si>
  <si>
    <t xml:space="preserve">Target risk</t>
  </si>
  <si>
    <t xml:space="preserve">Minimum Capital</t>
  </si>
  <si>
    <t xml:space="preserve">Minimum Capital 4 contracts</t>
  </si>
  <si>
    <t xml:space="preserve">Margin </t>
  </si>
  <si>
    <t xml:space="preserve">Minimum margin 4 contracts using IG markets margin requirement</t>
  </si>
  <si>
    <t xml:space="preserve">Sälj</t>
  </si>
  <si>
    <t xml:space="preserve">Köp</t>
  </si>
  <si>
    <t xml:space="preserve">Spread</t>
  </si>
  <si>
    <t xml:space="preserve">Spread cost</t>
  </si>
  <si>
    <t xml:space="preserve">Holding cost</t>
  </si>
  <si>
    <t xml:space="preserve">Risk Adjusted Cost</t>
  </si>
  <si>
    <t xml:space="preserve">USA500</t>
  </si>
  <si>
    <t xml:space="preserve">Cash</t>
  </si>
  <si>
    <t xml:space="preserve">Equity Index</t>
  </si>
  <si>
    <t xml:space="preserve">Future</t>
  </si>
  <si>
    <t xml:space="preserve">Gold</t>
  </si>
  <si>
    <t xml:space="preserve">Commodities</t>
  </si>
  <si>
    <t xml:space="preserve">Volatility index</t>
  </si>
  <si>
    <t xml:space="preserve">Volatility</t>
  </si>
  <si>
    <t xml:space="preserve">Kapital i portfölj</t>
  </si>
  <si>
    <t xml:space="preserve">US Treasury Bond</t>
  </si>
  <si>
    <t xml:space="preserve">Bonds</t>
  </si>
  <si>
    <t xml:space="preserve">VIX</t>
  </si>
  <si>
    <t xml:space="preserve">USA Tech100</t>
  </si>
  <si>
    <t xml:space="preserve">Tyskland 40</t>
  </si>
  <si>
    <t xml:space="preserve">Sverige30</t>
  </si>
  <si>
    <t xml:space="preserve">Wall Street</t>
  </si>
  <si>
    <t xml:space="preserve">Japan 225</t>
  </si>
  <si>
    <t xml:space="preserve">FTSE 100</t>
  </si>
  <si>
    <t xml:space="preserve">USA Russell 2000</t>
  </si>
  <si>
    <t xml:space="preserve">Frankrike40</t>
  </si>
  <si>
    <t xml:space="preserve">Hong Kong HS50</t>
  </si>
  <si>
    <t xml:space="preserve">AI Index</t>
  </si>
  <si>
    <t xml:space="preserve">EU Volatility Index</t>
  </si>
  <si>
    <t xml:space="preserve">Volatilitetsindex</t>
  </si>
  <si>
    <t xml:space="preserve">Taiwan Index</t>
  </si>
  <si>
    <t xml:space="preserve">EU Stocks50</t>
  </si>
  <si>
    <t xml:space="preserve">Hong Kong Tech Index</t>
  </si>
  <si>
    <t xml:space="preserve">Italien40</t>
  </si>
  <si>
    <t xml:space="preserve">Euro Stoxx Banks Index</t>
  </si>
  <si>
    <t xml:space="preserve">Australien200</t>
  </si>
  <si>
    <t xml:space="preserve">Nederländerna25</t>
  </si>
  <si>
    <t xml:space="preserve">Sydafrika40</t>
  </si>
  <si>
    <t xml:space="preserve">US Fang</t>
  </si>
  <si>
    <t xml:space="preserve">European Defence Index</t>
  </si>
  <si>
    <t xml:space="preserve">Spain 35</t>
  </si>
  <si>
    <t xml:space="preserve">Kina A50</t>
  </si>
  <si>
    <t xml:space="preserve">Switzerland Blue Chip</t>
  </si>
  <si>
    <t xml:space="preserve">Emerging Markets Index</t>
  </si>
  <si>
    <t xml:space="preserve">Norway 20</t>
  </si>
  <si>
    <t xml:space="preserve">Tokyo First Section</t>
  </si>
  <si>
    <t xml:space="preserve">Singapore Blue Chip</t>
  </si>
  <si>
    <t xml:space="preserve">Norway 25</t>
  </si>
  <si>
    <t xml:space="preserve">Australia 200 Energy</t>
  </si>
  <si>
    <t xml:space="preserve">Australia 200 Utilities</t>
  </si>
  <si>
    <t xml:space="preserve">Cannabis Index</t>
  </si>
  <si>
    <t xml:space="preserve">China H-shares</t>
  </si>
  <si>
    <t xml:space="preserve">EU Stocks 600</t>
  </si>
  <si>
    <t xml:space="preserve">FTSE 350 Banks</t>
  </si>
  <si>
    <t xml:space="preserve">FTSE 350 Chemicals</t>
  </si>
  <si>
    <t xml:space="preserve">FTSE 350 Equity Investment Instruments</t>
  </si>
  <si>
    <t xml:space="preserve">FTSE 350 Food and Drug Retailers</t>
  </si>
  <si>
    <t xml:space="preserve">FTSE 350 Mining</t>
  </si>
  <si>
    <t xml:space="preserve">FTSE 350 Oil and Gas Producers</t>
  </si>
  <si>
    <t xml:space="preserve">FTSE 350 Real Estate Investment Trusts</t>
  </si>
  <si>
    <t xml:space="preserve">FTSE 350 Travel and Leisure</t>
  </si>
  <si>
    <t xml:space="preserve">FTSE Mid 250</t>
  </si>
  <si>
    <t xml:space="preserve">Tyskland Mid-Cap50</t>
  </si>
  <si>
    <t xml:space="preserve">Tyskland Tech30</t>
  </si>
  <si>
    <t xml:space="preserve">EUR/USD</t>
  </si>
  <si>
    <t xml:space="preserve">USD/JPY</t>
  </si>
  <si>
    <t xml:space="preserve">GBP/USD</t>
  </si>
  <si>
    <t xml:space="preserve">AUD/USD</t>
  </si>
  <si>
    <t xml:space="preserve">EUR/CHF</t>
  </si>
  <si>
    <t xml:space="preserve">EUR/GBP</t>
  </si>
  <si>
    <t xml:space="preserve">EUR/JPY</t>
  </si>
  <si>
    <t xml:space="preserve">USD/CAD</t>
  </si>
  <si>
    <t xml:space="preserve">USD/CHF</t>
  </si>
  <si>
    <t xml:space="preserve">US Dollarkorg</t>
  </si>
  <si>
    <t xml:space="preserve">GBP/EUR</t>
  </si>
  <si>
    <t xml:space="preserve">GBP/JPY</t>
  </si>
  <si>
    <t xml:space="preserve">GBP/CHF</t>
  </si>
  <si>
    <t xml:space="preserve">CHF/JPY</t>
  </si>
  <si>
    <t xml:space="preserve">GBP/CAD</t>
  </si>
  <si>
    <t xml:space="preserve">EUR/CAD</t>
  </si>
  <si>
    <t xml:space="preserve">CAD/CHF</t>
  </si>
  <si>
    <t xml:space="preserve">GBP/SGD</t>
  </si>
  <si>
    <t xml:space="preserve">CAD/JPY</t>
  </si>
  <si>
    <t xml:space="preserve">EUR/SGD</t>
  </si>
  <si>
    <t xml:space="preserve">EUR/ZAR</t>
  </si>
  <si>
    <t xml:space="preserve">GBP/ZAR</t>
  </si>
  <si>
    <t xml:space="preserve">INR/JPY</t>
  </si>
  <si>
    <t xml:space="preserve">SGD/JPY</t>
  </si>
  <si>
    <t xml:space="preserve">USD/HKD</t>
  </si>
  <si>
    <t xml:space="preserve">USD/SGD</t>
  </si>
  <si>
    <t xml:space="preserve">USD/ZAR</t>
  </si>
  <si>
    <t xml:space="preserve">ZAR/JPY</t>
  </si>
  <si>
    <t xml:space="preserve">GBP/AUD</t>
  </si>
  <si>
    <t xml:space="preserve">AUD/CHF</t>
  </si>
  <si>
    <t xml:space="preserve">EUR/AUD</t>
  </si>
  <si>
    <t xml:space="preserve">AUD/JPY</t>
  </si>
  <si>
    <t xml:space="preserve">AUD/NZD</t>
  </si>
  <si>
    <t xml:space="preserve">NZD/USD</t>
  </si>
  <si>
    <t xml:space="preserve">EUR/NZD</t>
  </si>
  <si>
    <t xml:space="preserve">NZD/CHF</t>
  </si>
  <si>
    <t xml:space="preserve">NZD/CAD</t>
  </si>
  <si>
    <t xml:space="preserve">NZD/JPY</t>
  </si>
  <si>
    <t xml:space="preserve">AUD/CAD</t>
  </si>
  <si>
    <t xml:space="preserve">GBP/NZD</t>
  </si>
  <si>
    <t xml:space="preserve">AUD/EUR</t>
  </si>
  <si>
    <t xml:space="preserve">AUD/GBP</t>
  </si>
  <si>
    <t xml:space="preserve">AUD/SGD</t>
  </si>
  <si>
    <t xml:space="preserve">NZD/AUD</t>
  </si>
  <si>
    <t xml:space="preserve">NZD/EUR</t>
  </si>
  <si>
    <t xml:space="preserve">NZD/GBP</t>
  </si>
  <si>
    <t xml:space="preserve">EUR/SEK</t>
  </si>
  <si>
    <t xml:space="preserve">USD/SEK</t>
  </si>
  <si>
    <t xml:space="preserve">SEK/JPY</t>
  </si>
  <si>
    <t xml:space="preserve">USD/NOK</t>
  </si>
  <si>
    <t xml:space="preserve">NOK/SEK</t>
  </si>
  <si>
    <t xml:space="preserve">NOK/JPY</t>
  </si>
  <si>
    <t xml:space="preserve">GBP/SEK</t>
  </si>
  <si>
    <t xml:space="preserve">GBP/DKK</t>
  </si>
  <si>
    <t xml:space="preserve">CAD/NOK</t>
  </si>
  <si>
    <t xml:space="preserve">CHF/NOK</t>
  </si>
  <si>
    <t xml:space="preserve">EUR/DKK</t>
  </si>
  <si>
    <t xml:space="preserve">EUR/NOK</t>
  </si>
  <si>
    <t xml:space="preserve">GBP/NOK</t>
  </si>
  <si>
    <t xml:space="preserve">USD/DKK</t>
  </si>
  <si>
    <t xml:space="preserve">MXN/JPY</t>
  </si>
  <si>
    <t xml:space="preserve">EUR/PLN</t>
  </si>
  <si>
    <t xml:space="preserve">TRY/JPY</t>
  </si>
  <si>
    <t xml:space="preserve">CHF/HUF</t>
  </si>
  <si>
    <t xml:space="preserve">EUR/CZK</t>
  </si>
  <si>
    <t xml:space="preserve">EUR/HUF</t>
  </si>
  <si>
    <t xml:space="preserve">EUR/ILS</t>
  </si>
  <si>
    <t xml:space="preserve">EUR/MXN</t>
  </si>
  <si>
    <t xml:space="preserve">EUR/TRY</t>
  </si>
  <si>
    <t xml:space="preserve">GBP/CZK</t>
  </si>
  <si>
    <t xml:space="preserve">GBP/HUF</t>
  </si>
  <si>
    <t xml:space="preserve">GBP/ILS</t>
  </si>
  <si>
    <t xml:space="preserve">GBP/MXN</t>
  </si>
  <si>
    <t xml:space="preserve">GBP/PLN</t>
  </si>
  <si>
    <t xml:space="preserve">GBP/TRY</t>
  </si>
  <si>
    <t xml:space="preserve">PLN/JPY</t>
  </si>
  <si>
    <t xml:space="preserve">USD/CZK</t>
  </si>
  <si>
    <t xml:space="preserve">USD/HUF</t>
  </si>
  <si>
    <t xml:space="preserve">USD/ILS</t>
  </si>
  <si>
    <t xml:space="preserve">USD/MXN</t>
  </si>
  <si>
    <t xml:space="preserve">USD/PLN</t>
  </si>
  <si>
    <t xml:space="preserve">USD/TRY</t>
  </si>
  <si>
    <t xml:space="preserve">CAD/CNH</t>
  </si>
  <si>
    <t xml:space="preserve">NZD/CNH</t>
  </si>
  <si>
    <t xml:space="preserve">AUD/CNH</t>
  </si>
  <si>
    <t xml:space="preserve">BRL/JPY</t>
  </si>
  <si>
    <t xml:space="preserve">CNH/JPY</t>
  </si>
  <si>
    <t xml:space="preserve">EUR/CNH</t>
  </si>
  <si>
    <t xml:space="preserve">GBP/CNH</t>
  </si>
  <si>
    <t xml:space="preserve">GBP/INR</t>
  </si>
  <si>
    <t xml:space="preserve">USD/BRL</t>
  </si>
  <si>
    <t xml:space="preserve">USD/CNH</t>
  </si>
  <si>
    <t xml:space="preserve">USD/IDR</t>
  </si>
  <si>
    <t xml:space="preserve">USD/INR</t>
  </si>
  <si>
    <t xml:space="preserve">USD/KRW</t>
  </si>
  <si>
    <t xml:space="preserve">USD/PHP</t>
  </si>
  <si>
    <t xml:space="preserve">USD/THB</t>
  </si>
  <si>
    <t xml:space="preserve">USD/TWD</t>
  </si>
  <si>
    <t xml:space="preserve">Ether</t>
  </si>
  <si>
    <t xml:space="preserve">Solana</t>
  </si>
  <si>
    <t xml:space="preserve">Dogecoin</t>
  </si>
  <si>
    <t xml:space="preserve">Avalanche</t>
  </si>
  <si>
    <t xml:space="preserve">Cardano</t>
  </si>
  <si>
    <t xml:space="preserve">Polkadot</t>
  </si>
  <si>
    <t xml:space="preserve">Litecoin</t>
  </si>
  <si>
    <t xml:space="preserve">Bitcoin Cash</t>
  </si>
  <si>
    <t xml:space="preserve">Bitcoin Cash/Bitcoin</t>
  </si>
  <si>
    <t xml:space="preserve">Ripple</t>
  </si>
  <si>
    <t xml:space="preserve">Chainlink</t>
  </si>
  <si>
    <t xml:space="preserve">Crypto 10 Index</t>
  </si>
  <si>
    <t xml:space="preserve">Ether/Bitcoin</t>
  </si>
  <si>
    <t xml:space="preserve">Uniswap</t>
  </si>
  <si>
    <t xml:space="preserve">Stellar</t>
  </si>
  <si>
    <t xml:space="preserve">EOS</t>
  </si>
  <si>
    <t xml:space="preserve">NEO</t>
  </si>
  <si>
    <t xml:space="preserve">Naturgas</t>
  </si>
  <si>
    <t xml:space="preserve">Olja - US Crude</t>
  </si>
  <si>
    <t xml:space="preserve">Olja - Brent Crude</t>
  </si>
  <si>
    <t xml:space="preserve">Utsläppsrättigheter - koldioxid</t>
  </si>
  <si>
    <t xml:space="preserve">Natural Gas - UK</t>
  </si>
  <si>
    <t xml:space="preserve">Eldningsolja</t>
  </si>
  <si>
    <t xml:space="preserve">Gasoline</t>
  </si>
  <si>
    <t xml:space="preserve">London Gasolja</t>
  </si>
  <si>
    <t xml:space="preserve">Guld</t>
  </si>
  <si>
    <t xml:space="preserve">Silver</t>
  </si>
  <si>
    <t xml:space="preserve">Palladium</t>
  </si>
  <si>
    <t xml:space="preserve">Platina</t>
  </si>
  <si>
    <t xml:space="preserve">Aluminium</t>
  </si>
  <si>
    <t xml:space="preserve">Högklassig Koppar</t>
  </si>
  <si>
    <t xml:space="preserve">Koppar</t>
  </si>
  <si>
    <t xml:space="preserve">Zink</t>
  </si>
  <si>
    <t xml:space="preserve">Iron Ore</t>
  </si>
  <si>
    <t xml:space="preserve">Lead</t>
  </si>
  <si>
    <t xml:space="preserve">Nickel</t>
  </si>
  <si>
    <t xml:space="preserve">Coffee - London (Robusta)</t>
  </si>
  <si>
    <t xml:space="preserve">Wheat - Chicago</t>
  </si>
  <si>
    <t xml:space="preserve">Cocoa - London</t>
  </si>
  <si>
    <t xml:space="preserve">Sugar - London No. 5</t>
  </si>
  <si>
    <t xml:space="preserve">Cocoa - New York</t>
  </si>
  <si>
    <t xml:space="preserve">Majs</t>
  </si>
  <si>
    <t xml:space="preserve">Råris</t>
  </si>
  <si>
    <t xml:space="preserve">Coffee - New York (Arabica)</t>
  </si>
  <si>
    <t xml:space="preserve">Soybeans</t>
  </si>
  <si>
    <t xml:space="preserve">Cotton</t>
  </si>
  <si>
    <t xml:space="preserve">Havre</t>
  </si>
  <si>
    <t xml:space="preserve">Lean Hogs</t>
  </si>
  <si>
    <t xml:space="preserve">Live Cattle</t>
  </si>
  <si>
    <t xml:space="preserve">Lumber</t>
  </si>
  <si>
    <t xml:space="preserve">Orange Juice</t>
  </si>
  <si>
    <t xml:space="preserve">Soybean Meal</t>
  </si>
  <si>
    <t xml:space="preserve">Soybean Oil</t>
  </si>
  <si>
    <t xml:space="preserve">Sugar - New York No. 11</t>
  </si>
  <si>
    <t xml:space="preserve">Wheat - London</t>
  </si>
  <si>
    <t xml:space="preserve">French OAT</t>
  </si>
  <si>
    <t xml:space="preserve">German Bobl</t>
  </si>
  <si>
    <t xml:space="preserve">German Bund</t>
  </si>
  <si>
    <t xml:space="preserve">German Buxl</t>
  </si>
  <si>
    <t xml:space="preserve">German Schatz</t>
  </si>
  <si>
    <t xml:space="preserve">Italian BTP</t>
  </si>
  <si>
    <t xml:space="preserve">Italian BTS</t>
  </si>
  <si>
    <t xml:space="preserve">Japansk Statsobligation</t>
  </si>
  <si>
    <t xml:space="preserve">UK Long Gilt</t>
  </si>
  <si>
    <t xml:space="preserve">US 10-Year T-Note</t>
  </si>
  <si>
    <t xml:space="preserve">US 2-Year T-Note</t>
  </si>
  <si>
    <t xml:space="preserve">US 5-Year T-Note</t>
  </si>
  <si>
    <t xml:space="preserve">US Ultra Treasury Bond</t>
  </si>
  <si>
    <t xml:space="preserve">3-Month SOFR</t>
  </si>
  <si>
    <t xml:space="preserve">3-Month SONIA</t>
  </si>
  <si>
    <t xml:space="preserve">Australiskt 30-Dagars Interbankkurs</t>
  </si>
  <si>
    <t xml:space="preserve">Euribor</t>
  </si>
  <si>
    <t xml:space="preserve">US 30-Day Fed Funds Rate</t>
  </si>
  <si>
    <t xml:space="preserve">Name</t>
  </si>
  <si>
    <t xml:space="preserve">Code</t>
  </si>
  <si>
    <t xml:space="preserve">Group</t>
  </si>
  <si>
    <t xml:space="preserve">Australian Dollar</t>
  </si>
  <si>
    <t xml:space="preserve">6A</t>
  </si>
  <si>
    <t xml:space="preserve">Currency</t>
  </si>
  <si>
    <t xml:space="preserve">Pound</t>
  </si>
  <si>
    <t xml:space="preserve">6B</t>
  </si>
  <si>
    <t xml:space="preserve">Canadian Dollar</t>
  </si>
  <si>
    <t xml:space="preserve">6C</t>
  </si>
  <si>
    <t xml:space="preserve">Euro FX</t>
  </si>
  <si>
    <t xml:space="preserve">6E</t>
  </si>
  <si>
    <t xml:space="preserve">Yen</t>
  </si>
  <si>
    <t xml:space="preserve">6J</t>
  </si>
  <si>
    <t xml:space="preserve">Mexican Peso</t>
  </si>
  <si>
    <t xml:space="preserve">6M</t>
  </si>
  <si>
    <t xml:space="preserve">New Zealand Dollar</t>
  </si>
  <si>
    <t xml:space="preserve">6N</t>
  </si>
  <si>
    <t xml:space="preserve">Swiss Franc</t>
  </si>
  <si>
    <t xml:space="preserve">6S</t>
  </si>
  <si>
    <t xml:space="preserve">LE</t>
  </si>
  <si>
    <t xml:space="preserve">Agriculture &amp; Livestock</t>
  </si>
  <si>
    <t xml:space="preserve">Feeder Cattle</t>
  </si>
  <si>
    <t xml:space="preserve">GF</t>
  </si>
  <si>
    <t xml:space="preserve">HE</t>
  </si>
  <si>
    <t xml:space="preserve">GSCI</t>
  </si>
  <si>
    <t xml:space="preserve">GD</t>
  </si>
  <si>
    <t xml:space="preserve">Commodity Index</t>
  </si>
  <si>
    <t xml:space="preserve">Milk</t>
  </si>
  <si>
    <t xml:space="preserve">DC</t>
  </si>
  <si>
    <t xml:space="preserve">Corn</t>
  </si>
  <si>
    <t xml:space="preserve">ZC</t>
  </si>
  <si>
    <t xml:space="preserve">Rice</t>
  </si>
  <si>
    <t xml:space="preserve">ZR</t>
  </si>
  <si>
    <t xml:space="preserve">ZM</t>
  </si>
  <si>
    <t xml:space="preserve">ZL</t>
  </si>
  <si>
    <t xml:space="preserve">10-Year T-Note</t>
  </si>
  <si>
    <t xml:space="preserve">ZN</t>
  </si>
  <si>
    <t xml:space="preserve">Interest Rate</t>
  </si>
  <si>
    <t xml:space="preserve">Dow</t>
  </si>
  <si>
    <t xml:space="preserve">YM</t>
  </si>
  <si>
    <t xml:space="preserve">Stock Index</t>
  </si>
  <si>
    <t xml:space="preserve">EURO STOXX 50</t>
  </si>
  <si>
    <t xml:space="preserve">FESX</t>
  </si>
  <si>
    <t xml:space="preserve">KOSPI 200</t>
  </si>
  <si>
    <t xml:space="preserve">KOS</t>
  </si>
  <si>
    <t xml:space="preserve">E-mini S&amp;P 500</t>
  </si>
  <si>
    <t xml:space="preserve">ES</t>
  </si>
  <si>
    <t xml:space="preserve">Nasdaq 100</t>
  </si>
  <si>
    <t xml:space="preserve">NQ</t>
  </si>
  <si>
    <t xml:space="preserve">KC HRW Wheat</t>
  </si>
  <si>
    <t xml:space="preserve">KE</t>
  </si>
  <si>
    <t xml:space="preserve">TecDAX</t>
  </si>
  <si>
    <t xml:space="preserve">FTDX</t>
  </si>
  <si>
    <t xml:space="preserve">Switzerland</t>
  </si>
  <si>
    <t xml:space="preserve">FSMI</t>
  </si>
  <si>
    <t xml:space="preserve">E-mini S&amp;P MidCap 400</t>
  </si>
  <si>
    <t xml:space="preserve">EMD</t>
  </si>
  <si>
    <t xml:space="preserve">Nikkei 225</t>
  </si>
  <si>
    <t xml:space="preserve">NKD</t>
  </si>
  <si>
    <t xml:space="preserve">5-Year T-Note</t>
  </si>
  <si>
    <t xml:space="preserve">ZF</t>
  </si>
  <si>
    <t xml:space="preserve">T-Bond</t>
  </si>
  <si>
    <t xml:space="preserve">ZB</t>
  </si>
  <si>
    <t xml:space="preserve">2-Year T-Note</t>
  </si>
  <si>
    <t xml:space="preserve">ZT</t>
  </si>
  <si>
    <t xml:space="preserve">Oats</t>
  </si>
  <si>
    <t xml:space="preserve">ZO</t>
  </si>
  <si>
    <t xml:space="preserve">Chicago Wheat</t>
  </si>
  <si>
    <t xml:space="preserve">ZW</t>
  </si>
  <si>
    <t xml:space="preserve">Soybean</t>
  </si>
  <si>
    <t xml:space="preserve">ZS</t>
  </si>
  <si>
    <t xml:space="preserve">DAX</t>
  </si>
  <si>
    <t xml:space="preserve">FDAX</t>
  </si>
  <si>
    <t xml:space="preserve">Bund</t>
  </si>
  <si>
    <t xml:space="preserve">FGBL</t>
  </si>
  <si>
    <t xml:space="preserve">Schatz</t>
  </si>
  <si>
    <t xml:space="preserve">FGBS</t>
  </si>
  <si>
    <t xml:space="preserve">Bobl</t>
  </si>
  <si>
    <t xml:space="preserve">FGBM</t>
  </si>
  <si>
    <t xml:space="preserve">Buxl</t>
  </si>
  <si>
    <t xml:space="preserve">FGBX</t>
  </si>
  <si>
    <t xml:space="preserve">LFT</t>
  </si>
  <si>
    <t xml:space="preserve">Long Gilt</t>
  </si>
  <si>
    <t xml:space="preserve">LLG</t>
  </si>
  <si>
    <t xml:space="preserve">LEU</t>
  </si>
  <si>
    <t xml:space="preserve">CAC</t>
  </si>
  <si>
    <t xml:space="preserve">FCE</t>
  </si>
  <si>
    <t xml:space="preserve">London Cocoa</t>
  </si>
  <si>
    <t xml:space="preserve">LCC</t>
  </si>
  <si>
    <t xml:space="preserve">Sugar No 5</t>
  </si>
  <si>
    <t xml:space="preserve">LSU</t>
  </si>
  <si>
    <t xml:space="preserve">Wheat London</t>
  </si>
  <si>
    <t xml:space="preserve">LWB</t>
  </si>
  <si>
    <t xml:space="preserve">Cocoa New York</t>
  </si>
  <si>
    <t xml:space="preserve">CC</t>
  </si>
  <si>
    <t xml:space="preserve">Coffee  New York</t>
  </si>
  <si>
    <t xml:space="preserve">KC</t>
  </si>
  <si>
    <t xml:space="preserve">Sugar No. 11</t>
  </si>
  <si>
    <t xml:space="preserve">SB</t>
  </si>
  <si>
    <t xml:space="preserve">OJ</t>
  </si>
  <si>
    <t xml:space="preserve">CT</t>
  </si>
  <si>
    <t xml:space="preserve">US Dollar Index</t>
  </si>
  <si>
    <t xml:space="preserve">DX</t>
  </si>
  <si>
    <t xml:space="preserve">Crude Oil</t>
  </si>
  <si>
    <t xml:space="preserve">CL</t>
  </si>
  <si>
    <t xml:space="preserve">Energy</t>
  </si>
  <si>
    <t xml:space="preserve">NY Harbor ULSD</t>
  </si>
  <si>
    <t xml:space="preserve">HO</t>
  </si>
  <si>
    <t xml:space="preserve">RBOB Gasoline</t>
  </si>
  <si>
    <t xml:space="preserve">RB</t>
  </si>
  <si>
    <t xml:space="preserve">Natural Gas</t>
  </si>
  <si>
    <t xml:space="preserve">NG</t>
  </si>
  <si>
    <t xml:space="preserve">PA</t>
  </si>
  <si>
    <t xml:space="preserve">Metal</t>
  </si>
  <si>
    <t xml:space="preserve">Platinum</t>
  </si>
  <si>
    <t xml:space="preserve">PL</t>
  </si>
  <si>
    <t xml:space="preserve">GC</t>
  </si>
  <si>
    <t xml:space="preserve">Copper</t>
  </si>
  <si>
    <t xml:space="preserve">HG</t>
  </si>
  <si>
    <t xml:space="preserve">SI</t>
  </si>
  <si>
    <t xml:space="preserve">Brent Crude Oil</t>
  </si>
  <si>
    <t xml:space="preserve">BRN</t>
  </si>
  <si>
    <t xml:space="preserve">WTI Crude Oil</t>
  </si>
  <si>
    <t xml:space="preserve">WBS</t>
  </si>
  <si>
    <t xml:space="preserve">Low Sulphur Gasoil</t>
  </si>
  <si>
    <t xml:space="preserve">GAS</t>
  </si>
  <si>
    <t xml:space="preserve">10-Year Govt. of Canada Bond</t>
  </si>
  <si>
    <t xml:space="preserve">CGB</t>
  </si>
  <si>
    <t xml:space="preserve">S&amp;P/TSX 60 Index</t>
  </si>
  <si>
    <t xml:space="preserve">SXF</t>
  </si>
  <si>
    <t xml:space="preserve">Canola</t>
  </si>
  <si>
    <t xml:space="preserve">RS</t>
  </si>
  <si>
    <t xml:space="preserve">Hard Red Spring Wheat</t>
  </si>
  <si>
    <t xml:space="preserve">MWE</t>
  </si>
  <si>
    <t xml:space="preserve">Hang Seng Index</t>
  </si>
  <si>
    <t xml:space="preserve">HSI</t>
  </si>
  <si>
    <t xml:space="preserve">MHI</t>
  </si>
  <si>
    <t xml:space="preserve">SNK</t>
  </si>
  <si>
    <t xml:space="preserve">SSG</t>
  </si>
  <si>
    <t xml:space="preserve">Japanese Govt Bond - Mini</t>
  </si>
  <si>
    <t xml:space="preserve">SJB</t>
  </si>
  <si>
    <t xml:space="preserve">ASX 90 Day Bank Accepted Bills</t>
  </si>
  <si>
    <t xml:space="preserve">YIR</t>
  </si>
  <si>
    <t xml:space="preserve">ASX 3 Year Treasury Bond</t>
  </si>
  <si>
    <t xml:space="preserve">YYT</t>
  </si>
  <si>
    <t xml:space="preserve">ASX 10 Year Treasury Bond</t>
  </si>
  <si>
    <t xml:space="preserve">YXT</t>
  </si>
  <si>
    <t xml:space="preserve">YAP</t>
  </si>
  <si>
    <t xml:space="preserve">ZQ</t>
  </si>
  <si>
    <t xml:space="preserve">Australisk 30-Dagars Interbankkurs</t>
  </si>
  <si>
    <t xml:space="preserve">YIB</t>
  </si>
  <si>
    <t xml:space="preserve">Robusta Coffee</t>
  </si>
  <si>
    <t xml:space="preserve">LRC</t>
  </si>
  <si>
    <t xml:space="preserve">Volatility Index</t>
  </si>
  <si>
    <t xml:space="preserve">VX</t>
  </si>
  <si>
    <t xml:space="preserve">Ultra T-Bond</t>
  </si>
  <si>
    <t xml:space="preserve">UB</t>
  </si>
  <si>
    <t xml:space="preserve">NIY</t>
  </si>
  <si>
    <t xml:space="preserve">Eastern Australia Feed Barley</t>
  </si>
  <si>
    <t xml:space="preserve">AFB</t>
  </si>
  <si>
    <t xml:space="preserve">Euro-BTP Long-Term</t>
  </si>
  <si>
    <t xml:space="preserve">FBTP</t>
  </si>
  <si>
    <t xml:space="preserve">FTSE China A50 Index</t>
  </si>
  <si>
    <t xml:space="preserve">SCN</t>
  </si>
  <si>
    <t xml:space="preserve">UK Natural Gas</t>
  </si>
  <si>
    <t xml:space="preserve">GWM</t>
  </si>
  <si>
    <t xml:space="preserve">EUA</t>
  </si>
  <si>
    <t xml:space="preserve">Euro-OAT</t>
  </si>
  <si>
    <t xml:space="preserve">FOAT</t>
  </si>
  <si>
    <t xml:space="preserve">Eastern Australia Wheat</t>
  </si>
  <si>
    <t xml:space="preserve">AWM</t>
  </si>
  <si>
    <t xml:space="preserve">TN</t>
  </si>
  <si>
    <t xml:space="preserve">Russell 2000</t>
  </si>
  <si>
    <t xml:space="preserve">RTY</t>
  </si>
  <si>
    <t xml:space="preserve">Bitcoin</t>
  </si>
  <si>
    <t xml:space="preserve">BTC</t>
  </si>
  <si>
    <t xml:space="preserve">MES</t>
  </si>
  <si>
    <t xml:space="preserve">MNQ</t>
  </si>
  <si>
    <t xml:space="preserve">M2K</t>
  </si>
  <si>
    <t xml:space="preserve">Dow Jones</t>
  </si>
  <si>
    <t xml:space="preserve">MYM</t>
  </si>
  <si>
    <t xml:space="preserve">SR3</t>
  </si>
  <si>
    <t xml:space="preserve">HTW</t>
  </si>
  <si>
    <t xml:space="preserve">MBT</t>
  </si>
  <si>
    <t xml:space="preserve">ETH</t>
  </si>
  <si>
    <t xml:space="preserve">MET</t>
  </si>
  <si>
    <t xml:space="preserve">SO3</t>
  </si>
  <si>
    <t xml:space="preserve">LBR</t>
  </si>
  <si>
    <t xml:space="preserve">Three-Month CORRA</t>
  </si>
  <si>
    <t xml:space="preserve">CRA</t>
  </si>
  <si>
    <t xml:space="preserve">Epic</t>
  </si>
  <si>
    <t xml:space="preserve">Can I trade on IG markets</t>
  </si>
  <si>
    <t xml:space="preserve">Spot</t>
  </si>
  <si>
    <t xml:space="preserve">CS.D.AUDUSD.CFD.IP</t>
  </si>
  <si>
    <t xml:space="preserve">True</t>
  </si>
  <si>
    <t xml:space="preserve">CS.D.AUDUSD.MINI.IP</t>
  </si>
  <si>
    <t xml:space="preserve">British Pound</t>
  </si>
  <si>
    <t xml:space="preserve">CS.D.GBPUSD.CFD.IP</t>
  </si>
  <si>
    <t xml:space="preserve">CS.D.GBPUSD.MINI.IP</t>
  </si>
  <si>
    <t xml:space="preserve">False</t>
  </si>
  <si>
    <t xml:space="preserve">CS.D.EURUSD.CEE.IP</t>
  </si>
  <si>
    <t xml:space="preserve">CS.D.EURUSD.CEEM.IP</t>
  </si>
  <si>
    <t xml:space="preserve">Japanese Yen</t>
  </si>
  <si>
    <t xml:space="preserve">Live Cattle 1€</t>
  </si>
  <si>
    <t xml:space="preserve">CC.D.LC.UME.IP</t>
  </si>
  <si>
    <t xml:space="preserve">Live Cattle 4$</t>
  </si>
  <si>
    <t xml:space="preserve">CC.D.LC.UNC.IP</t>
  </si>
  <si>
    <t xml:space="preserve">Live Cattle 2$</t>
  </si>
  <si>
    <t xml:space="preserve">CO.D.LC.FWM1.IP</t>
  </si>
  <si>
    <t xml:space="preserve">CO.D.LC.FWS1.IP</t>
  </si>
  <si>
    <t xml:space="preserve">Lean Hogs 2$</t>
  </si>
  <si>
    <t xml:space="preserve">CO.D.LH.FWM1.IP</t>
  </si>
  <si>
    <t xml:space="preserve">Lean Hogs 4$</t>
  </si>
  <si>
    <t xml:space="preserve">CO.D.LH.FWS1.IP</t>
  </si>
  <si>
    <t xml:space="preserve">S&amp;P GSCI</t>
  </si>
  <si>
    <t xml:space="preserve">Finns som ETF</t>
  </si>
  <si>
    <t xml:space="preserve">Class III Milk</t>
  </si>
  <si>
    <t xml:space="preserve">Corn 50$</t>
  </si>
  <si>
    <t xml:space="preserve">CC.D.C.UNC.IP</t>
  </si>
  <si>
    <t xml:space="preserve">Corn 1€</t>
  </si>
  <si>
    <t xml:space="preserve">CC.D.C.UME.IP</t>
  </si>
  <si>
    <t xml:space="preserve">CO.D.C.FWS2.IP</t>
  </si>
  <si>
    <t xml:space="preserve">Corn 25$</t>
  </si>
  <si>
    <t xml:space="preserve">CO.D.C.FWM2.IP</t>
  </si>
  <si>
    <t xml:space="preserve">Rough Rice 1$</t>
  </si>
  <si>
    <t xml:space="preserve">CO.D.RR.FWM1.IP</t>
  </si>
  <si>
    <t xml:space="preserve">Rough Rice 2$</t>
  </si>
  <si>
    <t xml:space="preserve">CO.D.RR.FWS1.IP</t>
  </si>
  <si>
    <t xml:space="preserve">Soybean Meal 1$</t>
  </si>
  <si>
    <t xml:space="preserve">CC.D.SM.UNC.IP</t>
  </si>
  <si>
    <t xml:space="preserve">Soybean Meal 1€</t>
  </si>
  <si>
    <t xml:space="preserve">CC.D.SM.UME.IP</t>
  </si>
  <si>
    <t xml:space="preserve">CO.D.SM.FWS1.IP</t>
  </si>
  <si>
    <t xml:space="preserve">Soybean Meal 0,5$</t>
  </si>
  <si>
    <t xml:space="preserve">CO.D.SM.FWM1.IP</t>
  </si>
  <si>
    <t xml:space="preserve">Soybean Oil 6$</t>
  </si>
  <si>
    <t xml:space="preserve">CC.D.BO.UNC.IP</t>
  </si>
  <si>
    <t xml:space="preserve">Soybean Oil 1€</t>
  </si>
  <si>
    <t xml:space="preserve">CC.D.BO.UME.IP</t>
  </si>
  <si>
    <t xml:space="preserve">Soybean Oil 3$</t>
  </si>
  <si>
    <t xml:space="preserve">CO.D.BO.FWM1.IP</t>
  </si>
  <si>
    <t xml:space="preserve">CO.D.BO.FWS1.IP</t>
  </si>
  <si>
    <t xml:space="preserve">10-Year U.S. T-Note 10$</t>
  </si>
  <si>
    <t xml:space="preserve">IR.D.10YEAR100.FWS2.IP</t>
  </si>
  <si>
    <t xml:space="preserve">10-Year U.S. T-Note 2$</t>
  </si>
  <si>
    <t xml:space="preserve">IR.D.10YEAR100.FWM2.IP</t>
  </si>
  <si>
    <t xml:space="preserve">E-mini Dow 1€</t>
  </si>
  <si>
    <t xml:space="preserve">IX.D.DOW.INE.IP</t>
  </si>
  <si>
    <t xml:space="preserve">E-mini Dow 1$</t>
  </si>
  <si>
    <t xml:space="preserve">IX.D.DOW.IEE.IP</t>
  </si>
  <si>
    <t xml:space="preserve">E-mini Dow 2$</t>
  </si>
  <si>
    <t xml:space="preserve">IX.D.DOW.FWM2.IP</t>
  </si>
  <si>
    <t xml:space="preserve">E-mini Dow 10$</t>
  </si>
  <si>
    <t xml:space="preserve">IX.D.DOW.FWS2.IP</t>
  </si>
  <si>
    <t xml:space="preserve">EURO STOXX 50 2€</t>
  </si>
  <si>
    <t xml:space="preserve">IX.D.STXE.IFM.IP</t>
  </si>
  <si>
    <t xml:space="preserve">EURO STOXX 50 10€</t>
  </si>
  <si>
    <t xml:space="preserve">IX.D.STXE.IFD.IP</t>
  </si>
  <si>
    <t xml:space="preserve">IX.D.STXE.FWM4.IP</t>
  </si>
  <si>
    <t xml:space="preserve">IX.D.STXE.FWS4.IP</t>
  </si>
  <si>
    <t xml:space="preserve">E-mini S&amp;P 500 1$</t>
  </si>
  <si>
    <t xml:space="preserve">IX.D.SPTRD.IEE.IP</t>
  </si>
  <si>
    <t xml:space="preserve">E-mini S&amp;P 500 1€</t>
  </si>
  <si>
    <t xml:space="preserve">IX.D.SPTRD.INE.IP</t>
  </si>
  <si>
    <t xml:space="preserve">E-mini S&amp;P 500 250$</t>
  </si>
  <si>
    <t xml:space="preserve">IX.D.SPTRD.FWS1.IP</t>
  </si>
  <si>
    <t xml:space="preserve">E-mini S&amp;P 500 50$</t>
  </si>
  <si>
    <t xml:space="preserve">IX.D.SPTRD.FWM1.IP</t>
  </si>
  <si>
    <t xml:space="preserve">E-mini Nasdaq-100 1€</t>
  </si>
  <si>
    <t xml:space="preserve">IX.D.NASDAQ.INE.IP</t>
  </si>
  <si>
    <t xml:space="preserve">E-mini Nasdaq-100 1$</t>
  </si>
  <si>
    <t xml:space="preserve">IX.D.NASDAQ.IEE.IP</t>
  </si>
  <si>
    <t xml:space="preserve">E-mini Nasdaq-100 100$</t>
  </si>
  <si>
    <t xml:space="preserve">IX.D.NASDAQ.FWS1.IP</t>
  </si>
  <si>
    <t xml:space="preserve">E-mini Nasdaq-100 20$</t>
  </si>
  <si>
    <t xml:space="preserve">IX.D.NASDAQ.FWM1.IP</t>
  </si>
  <si>
    <t xml:space="preserve">KC HRW Wheat 50€</t>
  </si>
  <si>
    <t xml:space="preserve">TecDAX 2€ mini</t>
  </si>
  <si>
    <t xml:space="preserve">TM.D.TECDAX.IFM.IP</t>
  </si>
  <si>
    <t xml:space="preserve">TM.D.TECDAX.IFD.IP</t>
  </si>
  <si>
    <t xml:space="preserve">Swiss Market Index 10CHF</t>
  </si>
  <si>
    <t xml:space="preserve">IX.D.SMI.IFD.IP</t>
  </si>
  <si>
    <t xml:space="preserve">Swiss Market Index 2CHF</t>
  </si>
  <si>
    <t xml:space="preserve">IX.D.SMI.IFM.IP</t>
  </si>
  <si>
    <t xml:space="preserve">Swiss Market Index</t>
  </si>
  <si>
    <t xml:space="preserve">IX.D.SMI.FWM2.IP</t>
  </si>
  <si>
    <t xml:space="preserve">Nikkei 225 Dollar 5$</t>
  </si>
  <si>
    <t xml:space="preserve">IX.D.NIKKEI.IFD.IP</t>
  </si>
  <si>
    <t xml:space="preserve">Nikkei 225 Dollar 1$</t>
  </si>
  <si>
    <t xml:space="preserve">IX.D.NIKKEI.IFM.IP</t>
  </si>
  <si>
    <t xml:space="preserve">Nikkei 225 Dollar</t>
  </si>
  <si>
    <t xml:space="preserve">IX.D.NIKFUT.FWM1.IP</t>
  </si>
  <si>
    <t xml:space="preserve">5-Year U.S. T-Note 2$</t>
  </si>
  <si>
    <t xml:space="preserve">IR.D.05YEAR100.FWM2.IP</t>
  </si>
  <si>
    <t xml:space="preserve">5-Year U.S. T-Note 10$</t>
  </si>
  <si>
    <t xml:space="preserve">IR.D.05YEAR100.FWS2.IP</t>
  </si>
  <si>
    <r>
      <rPr>
        <sz val="10"/>
        <rFont val="Arial"/>
        <family val="2"/>
        <charset val="1"/>
      </rPr>
      <t xml:space="preserve">U.S. T-Bond </t>
    </r>
    <r>
      <rPr>
        <sz val="10"/>
        <rFont val="Arial"/>
        <family val="2"/>
      </rPr>
      <t xml:space="preserve">2$</t>
    </r>
  </si>
  <si>
    <t xml:space="preserve">IR.D.BOND100.FWS.IP</t>
  </si>
  <si>
    <r>
      <rPr>
        <sz val="10"/>
        <rFont val="Arial"/>
        <family val="2"/>
        <charset val="1"/>
      </rPr>
      <t xml:space="preserve">U.S. T-Bond </t>
    </r>
    <r>
      <rPr>
        <sz val="10"/>
        <rFont val="Arial"/>
        <family val="2"/>
      </rPr>
      <t xml:space="preserve">10$</t>
    </r>
  </si>
  <si>
    <t xml:space="preserve">IR.D.BOND100.FWM.IP</t>
  </si>
  <si>
    <t xml:space="preserve">2-Year U.S. T-Note 2$</t>
  </si>
  <si>
    <t xml:space="preserve">IR.D.02YEAR100.FWM2.IP</t>
  </si>
  <si>
    <t xml:space="preserve">2-Year U.S. T-Note 10$</t>
  </si>
  <si>
    <t xml:space="preserve">IR.D.02YEAR100.FWS2.IP</t>
  </si>
  <si>
    <t xml:space="preserve">Oats 25$</t>
  </si>
  <si>
    <t xml:space="preserve">CO.D.O.FWM2.IP</t>
  </si>
  <si>
    <t xml:space="preserve">Oats 50$</t>
  </si>
  <si>
    <t xml:space="preserve">CO.D.O.FWS2.IP</t>
  </si>
  <si>
    <r>
      <rPr>
        <sz val="10"/>
        <rFont val="Arial"/>
        <family val="2"/>
        <charset val="1"/>
      </rPr>
      <t xml:space="preserve">Chicago SRW Wheat </t>
    </r>
    <r>
      <rPr>
        <sz val="10"/>
        <rFont val="Arial"/>
        <family val="2"/>
      </rPr>
      <t xml:space="preserve">50€</t>
    </r>
  </si>
  <si>
    <t xml:space="preserve">CC.D.W.UNC.IP</t>
  </si>
  <si>
    <r>
      <rPr>
        <sz val="10"/>
        <rFont val="Arial"/>
        <family val="2"/>
        <charset val="1"/>
      </rPr>
      <t xml:space="preserve">Chicago SRW Wheat </t>
    </r>
    <r>
      <rPr>
        <sz val="10"/>
        <rFont val="Arial"/>
        <family val="2"/>
      </rPr>
      <t xml:space="preserve">1€</t>
    </r>
  </si>
  <si>
    <t xml:space="preserve">CC.D.W.UME.IP</t>
  </si>
  <si>
    <r>
      <rPr>
        <sz val="10"/>
        <rFont val="Arial"/>
        <family val="2"/>
        <charset val="1"/>
      </rPr>
      <t xml:space="preserve">Chicago SRW Wheat </t>
    </r>
    <r>
      <rPr>
        <sz val="10"/>
        <rFont val="Arial"/>
        <family val="2"/>
      </rPr>
      <t xml:space="preserve">25$</t>
    </r>
  </si>
  <si>
    <t xml:space="preserve">CO.D.W.FWM1.IP</t>
  </si>
  <si>
    <r>
      <rPr>
        <sz val="10"/>
        <rFont val="Arial"/>
        <family val="2"/>
        <charset val="1"/>
      </rPr>
      <t xml:space="preserve">Chicago SRW Wheat </t>
    </r>
    <r>
      <rPr>
        <sz val="10"/>
        <rFont val="Arial"/>
        <family val="2"/>
      </rPr>
      <t xml:space="preserve">50$</t>
    </r>
  </si>
  <si>
    <t xml:space="preserve">CO.D.W.FWS1.IP</t>
  </si>
  <si>
    <t xml:space="preserve">Soybean 50$</t>
  </si>
  <si>
    <t xml:space="preserve">CC.D.S.UNC.IP</t>
  </si>
  <si>
    <t xml:space="preserve">Soybean 1€</t>
  </si>
  <si>
    <t xml:space="preserve">CC.D.S.UME.IP</t>
  </si>
  <si>
    <t xml:space="preserve">CO.D.S.FWS2.IP</t>
  </si>
  <si>
    <t xml:space="preserve">Soybean 25$</t>
  </si>
  <si>
    <t xml:space="preserve">CO.D.S.FWM2.IP</t>
  </si>
  <si>
    <t xml:space="preserve">DAX 1€</t>
  </si>
  <si>
    <t xml:space="preserve">IX.D.DAX.INE.IP</t>
  </si>
  <si>
    <t xml:space="preserve">DAX 25€</t>
  </si>
  <si>
    <t xml:space="preserve">IX.D.DAX.FWS1.IP</t>
  </si>
  <si>
    <t xml:space="preserve">DAX 5€</t>
  </si>
  <si>
    <t xml:space="preserve">IX.D.DAX.FWM1.IP</t>
  </si>
  <si>
    <t xml:space="preserve">Euro-Bund 10€</t>
  </si>
  <si>
    <t xml:space="preserve">IR.D.FGBL.FWJ2.IP</t>
  </si>
  <si>
    <t xml:space="preserve">Euro-Bund 2€</t>
  </si>
  <si>
    <t xml:space="preserve">IR.D.FGBL.FWM2.IP</t>
  </si>
  <si>
    <t xml:space="preserve">Euro-Schatz 2€</t>
  </si>
  <si>
    <t xml:space="preserve">IR.D.FGBS.FWM2.IP</t>
  </si>
  <si>
    <t xml:space="preserve">Euro-Schatz 10€</t>
  </si>
  <si>
    <t xml:space="preserve">IR.D.FGBS.FWS2.IP</t>
  </si>
  <si>
    <t xml:space="preserve">Euro-Bobl 2€</t>
  </si>
  <si>
    <t xml:space="preserve">IR.D.FGBM.FWM2.IP</t>
  </si>
  <si>
    <t xml:space="preserve">Euro-Bobl 10€</t>
  </si>
  <si>
    <t xml:space="preserve">IR.D.FGBM.FWS2.IP</t>
  </si>
  <si>
    <r>
      <rPr>
        <sz val="10"/>
        <rFont val="Arial"/>
        <family val="2"/>
        <charset val="1"/>
      </rPr>
      <t xml:space="preserve">Euro-Buxl </t>
    </r>
    <r>
      <rPr>
        <sz val="10"/>
        <rFont val="Arial"/>
        <family val="2"/>
      </rPr>
      <t xml:space="preserve">2€</t>
    </r>
  </si>
  <si>
    <t xml:space="preserve">IR.D.FGBX.FWM2.IP</t>
  </si>
  <si>
    <r>
      <rPr>
        <sz val="10"/>
        <rFont val="Arial"/>
        <family val="2"/>
        <charset val="1"/>
      </rPr>
      <t xml:space="preserve">Euro-Buxl </t>
    </r>
    <r>
      <rPr>
        <sz val="10"/>
        <rFont val="Arial"/>
        <family val="2"/>
      </rPr>
      <t xml:space="preserve">10€</t>
    </r>
  </si>
  <si>
    <t xml:space="preserve">IR.D.FGBX.FWS2.IP</t>
  </si>
  <si>
    <t xml:space="preserve">FTSE 100 1GBP</t>
  </si>
  <si>
    <t xml:space="preserve">IX.D.FTSE.IEL.IP</t>
  </si>
  <si>
    <t xml:space="preserve">FTSE 100 2£</t>
  </si>
  <si>
    <t xml:space="preserve">IX.D.FTSE.IFM.IP</t>
  </si>
  <si>
    <t xml:space="preserve">FTSE 100 10£</t>
  </si>
  <si>
    <t xml:space="preserve">IX.D.FTSE.CFD.IP</t>
  </si>
  <si>
    <t xml:space="preserve">FTSE 100 1€</t>
  </si>
  <si>
    <t xml:space="preserve">IX.D.FTSE.IFE.IP</t>
  </si>
  <si>
    <t xml:space="preserve">IX.D.FTSE.FWS1.IP</t>
  </si>
  <si>
    <t xml:space="preserve">IX.D.FTSE.FWM1.IP</t>
  </si>
  <si>
    <t xml:space="preserve">Long Gilt 2£</t>
  </si>
  <si>
    <t xml:space="preserve">IR.D.FLG.FWM2.IP</t>
  </si>
  <si>
    <t xml:space="preserve">Long Gilt 10£</t>
  </si>
  <si>
    <t xml:space="preserve">IR.D.FLG.FWS2.IP</t>
  </si>
  <si>
    <t xml:space="preserve">Euribor 5€</t>
  </si>
  <si>
    <t xml:space="preserve">IR.D.FEI.FWM6.IP</t>
  </si>
  <si>
    <t xml:space="preserve">Euribor 25€</t>
  </si>
  <si>
    <t xml:space="preserve">IR.D.FEI.FWS6.IP</t>
  </si>
  <si>
    <t xml:space="preserve">CAC 40 1€</t>
  </si>
  <si>
    <t xml:space="preserve">IX.D.CAC.IFE.IP</t>
  </si>
  <si>
    <t xml:space="preserve">CAC 40 10€</t>
  </si>
  <si>
    <t xml:space="preserve">IX.D.CAC.IFD.IP</t>
  </si>
  <si>
    <t xml:space="preserve">CAC 40 2€</t>
  </si>
  <si>
    <t xml:space="preserve">IX.D.CAC.IFM.IP</t>
  </si>
  <si>
    <t xml:space="preserve">IX.D.CAC.FWM1.IP</t>
  </si>
  <si>
    <t xml:space="preserve">White Sugar</t>
  </si>
  <si>
    <t xml:space="preserve">Feed Wheat</t>
  </si>
  <si>
    <t xml:space="preserve">Cocoa</t>
  </si>
  <si>
    <t xml:space="preserve">Coffee C</t>
  </si>
  <si>
    <t xml:space="preserve">Frozen Concentrated Orange Juice Grade A</t>
  </si>
  <si>
    <t xml:space="preserve">Cotton No. 2</t>
  </si>
  <si>
    <t xml:space="preserve">Henry Hub Natural Gas</t>
  </si>
  <si>
    <t xml:space="preserve">Hang Seng Index - Mini</t>
  </si>
  <si>
    <t xml:space="preserve">Nikkei 225 (SGX)</t>
  </si>
  <si>
    <t xml:space="preserve">MSCI Singapore Index</t>
  </si>
  <si>
    <t xml:space="preserve">ASX SPI 200</t>
  </si>
  <si>
    <t xml:space="preserve">30 Day Federal Funds</t>
  </si>
  <si>
    <t xml:space="preserve">ASX 30 Day Interbank Cash Rate</t>
  </si>
  <si>
    <t xml:space="preserve">Robusta Coffee 10 Tonne</t>
  </si>
  <si>
    <t xml:space="preserve">CBOE Volatility Index</t>
  </si>
  <si>
    <t xml:space="preserve">Ultra U.S. T-Bond</t>
  </si>
  <si>
    <t xml:space="preserve">Nikkei 225 Yen</t>
  </si>
  <si>
    <t xml:space="preserve">Ultra 10-Year U.S. T-Note</t>
  </si>
  <si>
    <t xml:space="preserve">E-mini Russell 2000</t>
  </si>
  <si>
    <t xml:space="preserve">Micro E-mini S&amp;P 500</t>
  </si>
  <si>
    <t xml:space="preserve">Micro E-mini Nasdaq-100</t>
  </si>
  <si>
    <t xml:space="preserve">Micro E-mini Russell 2000</t>
  </si>
  <si>
    <t xml:space="preserve">Micro E-mini Dow Jones Industrial Average</t>
  </si>
  <si>
    <t xml:space="preserve">MSCI Taiwan Index</t>
  </si>
  <si>
    <t xml:space="preserve">Micro Bitcoin</t>
  </si>
  <si>
    <t xml:space="preserve">Micro Ether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</si>
</sst>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[$$-409]#,##0.00;[RED]\-[$$-409]#,##0.00"/>
    <numFmt numFmtId="166" formatCode="[$$-409]#,##0;[RED]\-[$$-409]#,##0"/>
    <numFmt numFmtId="167" formatCode="[$-41D]0.00\ %"/>
    <numFmt numFmtId="168" formatCode="0.00\ %"/>
    <numFmt numFmtId="169" formatCode="#,##0.00\ [$€-81D];[RED]\-#,##0.00\ [$€-81D]"/>
    <numFmt numFmtId="170" formatCode="[$$-409]#,##0.0;[RED]\-[$$-409]#,##0.0"/>
    <numFmt numFmtId="171" formatCode="[$$-409]#,##0;[RED]\-[$$-409]#,##0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color rgb="FF000000"/>
      <name val="Calibri"/>
      <family val="2"/>
    </font>
    <font>
      <b val="true"/>
      <sz val="10"/>
      <color rgb="FF000000"/>
      <name val="Calibri"/>
      <family val="2"/>
      <charset val="1"/>
    </font>
    <font>
      <sz val="10"/>
      <name val="Liberation Mono;Courier New;DejaVu Sans Mono"/>
      <family val="3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81D41A"/>
        <bgColor rgb="FF96969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8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20" activeCellId="0" sqref="K20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5.3"/>
    <col collapsed="false" customWidth="false" hidden="false" outlineLevel="0" max="3" min="2" style="1" width="11.53"/>
    <col collapsed="false" customWidth="true" hidden="false" outlineLevel="0" max="4" min="4" style="1" width="6.25"/>
    <col collapsed="false" customWidth="true" hidden="false" outlineLevel="0" max="5" min="5" style="1" width="12.1"/>
    <col collapsed="false" customWidth="false" hidden="false" outlineLevel="0" max="6" min="6" style="2" width="11.53"/>
    <col collapsed="false" customWidth="false" hidden="false" outlineLevel="0" max="8" min="7" style="3" width="11.53"/>
    <col collapsed="false" customWidth="false" hidden="false" outlineLevel="0" max="10" min="9" style="1" width="11.53"/>
    <col collapsed="false" customWidth="true" hidden="false" outlineLevel="0" max="11" min="11" style="3" width="9.18"/>
    <col collapsed="false" customWidth="true" hidden="false" outlineLevel="0" max="12" min="12" style="3" width="10.71"/>
    <col collapsed="false" customWidth="false" hidden="false" outlineLevel="0" max="13" min="13" style="4" width="11.53"/>
    <col collapsed="false" customWidth="true" hidden="false" outlineLevel="0" max="14" min="14" style="3" width="17.39"/>
    <col collapsed="false" customWidth="true" hidden="false" outlineLevel="0" max="16" min="15" style="1" width="7.83"/>
    <col collapsed="false" customWidth="true" hidden="false" outlineLevel="0" max="17" min="17" style="1" width="8.34"/>
    <col collapsed="false" customWidth="false" hidden="false" outlineLevel="0" max="18" min="18" style="5" width="11.53"/>
    <col collapsed="false" customWidth="false" hidden="false" outlineLevel="0" max="19" min="19" style="5" width="11.58"/>
    <col collapsed="false" customWidth="true" hidden="false" outlineLevel="0" max="20" min="20" style="1" width="18.54"/>
    <col collapsed="false" customWidth="false" hidden="false" outlineLevel="0" max="21" min="21" style="1" width="11.53"/>
    <col collapsed="false" customWidth="true" hidden="false" outlineLevel="0" max="22" min="22" style="1" width="14.09"/>
    <col collapsed="false" customWidth="false" hidden="false" outlineLevel="0" max="16384" min="23" style="1" width="11.53"/>
  </cols>
  <sheetData>
    <row r="1" customFormat="false" ht="46.25" hidden="false" customHeight="fals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7" t="s">
        <v>5</v>
      </c>
      <c r="G1" s="8" t="s">
        <v>6</v>
      </c>
      <c r="H1" s="8" t="s">
        <v>7</v>
      </c>
      <c r="I1" s="6" t="s">
        <v>8</v>
      </c>
      <c r="J1" s="6" t="s">
        <v>9</v>
      </c>
      <c r="K1" s="8" t="s">
        <v>10</v>
      </c>
      <c r="L1" s="8" t="s">
        <v>11</v>
      </c>
      <c r="M1" s="9" t="s">
        <v>12</v>
      </c>
      <c r="N1" s="8" t="s">
        <v>13</v>
      </c>
      <c r="O1" s="6" t="s">
        <v>14</v>
      </c>
      <c r="P1" s="6" t="s">
        <v>15</v>
      </c>
      <c r="Q1" s="6" t="s">
        <v>16</v>
      </c>
      <c r="R1" s="10" t="s">
        <v>17</v>
      </c>
      <c r="S1" s="5" t="s">
        <v>18</v>
      </c>
      <c r="T1" s="6" t="s">
        <v>19</v>
      </c>
    </row>
    <row r="2" customFormat="false" ht="12.8" hidden="false" customHeight="false" outlineLevel="0" collapsed="false">
      <c r="A2" s="11" t="s">
        <v>20</v>
      </c>
      <c r="B2" s="11" t="s">
        <v>21</v>
      </c>
      <c r="C2" s="11" t="s">
        <v>22</v>
      </c>
      <c r="D2" s="11" t="n">
        <v>1</v>
      </c>
      <c r="E2" s="11" t="n">
        <v>0.2</v>
      </c>
      <c r="F2" s="12" t="n">
        <v>6612.88</v>
      </c>
      <c r="G2" s="13" t="n">
        <v>1</v>
      </c>
      <c r="H2" s="13" t="n">
        <f aca="false">E2*F2*G2</f>
        <v>1322.576</v>
      </c>
      <c r="I2" s="14" t="n">
        <f aca="false">(108.57*14)/F2</f>
        <v>0.229851441429453</v>
      </c>
      <c r="J2" s="14" t="n">
        <v>0.5</v>
      </c>
      <c r="K2" s="13" t="n">
        <f aca="false">(H2*I2)/J2*D2</f>
        <v>607.992</v>
      </c>
      <c r="L2" s="13" t="n">
        <f aca="false">K2*4</f>
        <v>2431.968</v>
      </c>
      <c r="M2" s="15" t="n">
        <v>0.05</v>
      </c>
      <c r="N2" s="13" t="n">
        <f aca="false">M2*L2</f>
        <v>121.5984</v>
      </c>
      <c r="O2" s="16" t="n">
        <v>6611.38</v>
      </c>
      <c r="P2" s="16" t="n">
        <v>6612.88</v>
      </c>
      <c r="Q2" s="16" t="n">
        <v>1.5</v>
      </c>
      <c r="R2" s="17" t="n">
        <f aca="false">((Q2*G2)/2)/F2</f>
        <v>0.000113415032482065</v>
      </c>
      <c r="S2" s="5" t="n">
        <v>0</v>
      </c>
      <c r="T2" s="16" t="n">
        <f aca="false">R2/I2</f>
        <v>0.000493427545099278</v>
      </c>
    </row>
    <row r="3" customFormat="false" ht="12.8" hidden="false" customHeight="false" outlineLevel="0" collapsed="false">
      <c r="A3" s="16" t="s">
        <v>20</v>
      </c>
      <c r="B3" s="16" t="s">
        <v>23</v>
      </c>
      <c r="C3" s="16" t="s">
        <v>22</v>
      </c>
      <c r="D3" s="18" t="n">
        <v>1</v>
      </c>
      <c r="E3" s="16" t="n">
        <v>0.04</v>
      </c>
      <c r="F3" s="19" t="n">
        <v>6630.73</v>
      </c>
      <c r="G3" s="20" t="n">
        <v>50</v>
      </c>
      <c r="H3" s="20" t="n">
        <f aca="false">E3*F3*G3</f>
        <v>13261.46</v>
      </c>
      <c r="I3" s="17" t="n">
        <f aca="false">(108.57*14)/F3</f>
        <v>0.229232678754828</v>
      </c>
      <c r="J3" s="17" t="n">
        <f aca="false">J2</f>
        <v>0.5</v>
      </c>
      <c r="K3" s="20" t="n">
        <f aca="false">(H3*I3)/J3*D3</f>
        <v>6079.92</v>
      </c>
      <c r="L3" s="20" t="n">
        <f aca="false">K3*4</f>
        <v>24319.68</v>
      </c>
      <c r="M3" s="21" t="n">
        <v>0.05</v>
      </c>
      <c r="N3" s="20" t="n">
        <f aca="false">M3*L3</f>
        <v>1215.984</v>
      </c>
      <c r="O3" s="16" t="n">
        <v>6738.54</v>
      </c>
      <c r="P3" s="16" t="n">
        <v>6739.24</v>
      </c>
      <c r="Q3" s="16" t="n">
        <v>0.7</v>
      </c>
      <c r="R3" s="17" t="n">
        <f aca="false">((Q3*G3)/2)/F3</f>
        <v>0.00263922675180561</v>
      </c>
      <c r="S3" s="5" t="n">
        <v>0</v>
      </c>
      <c r="T3" s="16" t="n">
        <f aca="false">R3/I3</f>
        <v>0.0115133093856498</v>
      </c>
    </row>
    <row r="4" customFormat="false" ht="12.8" hidden="false" customHeight="false" outlineLevel="0" collapsed="false">
      <c r="A4" s="16" t="s">
        <v>20</v>
      </c>
      <c r="B4" s="16" t="s">
        <v>23</v>
      </c>
      <c r="C4" s="16" t="s">
        <v>22</v>
      </c>
      <c r="D4" s="18" t="n">
        <v>1</v>
      </c>
      <c r="E4" s="16" t="n">
        <v>0.04</v>
      </c>
      <c r="F4" s="19" t="n">
        <v>6630.73</v>
      </c>
      <c r="G4" s="20" t="n">
        <v>250</v>
      </c>
      <c r="H4" s="20" t="n">
        <f aca="false">E4*F4*G4</f>
        <v>66307.3</v>
      </c>
      <c r="I4" s="17" t="n">
        <f aca="false">I3</f>
        <v>0.229232678754828</v>
      </c>
      <c r="J4" s="17" t="n">
        <f aca="false">J3</f>
        <v>0.5</v>
      </c>
      <c r="K4" s="20" t="n">
        <f aca="false">(H4*I4)/J4*D4</f>
        <v>30399.6</v>
      </c>
      <c r="L4" s="20" t="n">
        <f aca="false">K4*4</f>
        <v>121598.4</v>
      </c>
      <c r="M4" s="21" t="n">
        <v>0.05</v>
      </c>
      <c r="N4" s="20" t="n">
        <f aca="false">M4*L4</f>
        <v>6079.92</v>
      </c>
      <c r="O4" s="16" t="n">
        <v>6738.54</v>
      </c>
      <c r="P4" s="16" t="n">
        <v>6739.24</v>
      </c>
      <c r="Q4" s="16" t="n">
        <v>0.7</v>
      </c>
      <c r="R4" s="17" t="n">
        <f aca="false">((Q4*G4)/2)/F4</f>
        <v>0.013196133759028</v>
      </c>
      <c r="S4" s="5" t="n">
        <v>0</v>
      </c>
      <c r="T4" s="16" t="n">
        <f aca="false">R4/I4</f>
        <v>0.0575665469282491</v>
      </c>
    </row>
    <row r="5" customFormat="false" ht="12.8" hidden="false" customHeight="false" outlineLevel="0" collapsed="false">
      <c r="A5" s="11" t="s">
        <v>24</v>
      </c>
      <c r="B5" s="11" t="s">
        <v>21</v>
      </c>
      <c r="C5" s="11" t="s">
        <v>25</v>
      </c>
      <c r="D5" s="11" t="n">
        <v>1.15</v>
      </c>
      <c r="E5" s="11" t="n">
        <v>0.5</v>
      </c>
      <c r="F5" s="22" t="n">
        <v>4065.59</v>
      </c>
      <c r="G5" s="22" t="n">
        <v>1</v>
      </c>
      <c r="H5" s="22" t="n">
        <f aca="false">E5*F5*G5</f>
        <v>2032.795</v>
      </c>
      <c r="I5" s="14" t="n">
        <f aca="false">(94.62*14)/F5</f>
        <v>0.325827247705745</v>
      </c>
      <c r="J5" s="14" t="n">
        <f aca="false">J4</f>
        <v>0.5</v>
      </c>
      <c r="K5" s="13" t="n">
        <f aca="false">(H5*I5)/J5*D5</f>
        <v>1523.382</v>
      </c>
      <c r="L5" s="13" t="n">
        <f aca="false">K5*4</f>
        <v>6093.528</v>
      </c>
      <c r="M5" s="15" t="n">
        <v>0.05</v>
      </c>
      <c r="N5" s="13" t="n">
        <f aca="false">M5*L5</f>
        <v>304.6764</v>
      </c>
      <c r="O5" s="16" t="n">
        <v>4065.09</v>
      </c>
      <c r="P5" s="16" t="n">
        <v>4065.59</v>
      </c>
      <c r="Q5" s="16" t="n">
        <v>0.5</v>
      </c>
      <c r="R5" s="17" t="n">
        <f aca="false">((Q5*G5)/2)/F5</f>
        <v>6.14916900130116E-005</v>
      </c>
      <c r="S5" s="5" t="n">
        <v>0</v>
      </c>
      <c r="T5" s="16" t="n">
        <f aca="false">R5/I5</f>
        <v>0.000188724824108464</v>
      </c>
    </row>
    <row r="6" customFormat="false" ht="12.8" hidden="false" customHeight="false" outlineLevel="0" collapsed="false">
      <c r="A6" s="16" t="s">
        <v>24</v>
      </c>
      <c r="B6" s="16" t="s">
        <v>23</v>
      </c>
      <c r="C6" s="16" t="s">
        <v>25</v>
      </c>
      <c r="D6" s="16" t="n">
        <v>1</v>
      </c>
      <c r="E6" s="16" t="n">
        <v>0.1</v>
      </c>
      <c r="F6" s="19" t="n">
        <v>4091</v>
      </c>
      <c r="G6" s="23" t="n">
        <v>33.2</v>
      </c>
      <c r="H6" s="20" t="n">
        <f aca="false">E6*F6*G6</f>
        <v>13582.12</v>
      </c>
      <c r="I6" s="17" t="n">
        <f aca="false">(94.62*14)/F6</f>
        <v>0.323803471033977</v>
      </c>
      <c r="J6" s="17" t="n">
        <f aca="false">J5</f>
        <v>0.5</v>
      </c>
      <c r="K6" s="20" t="n">
        <f aca="false">(H6*I6)/J6*D6</f>
        <v>8795.8752</v>
      </c>
      <c r="L6" s="20" t="n">
        <f aca="false">K6*4</f>
        <v>35183.5008</v>
      </c>
      <c r="M6" s="21" t="n">
        <v>0.05</v>
      </c>
      <c r="N6" s="20" t="n">
        <f aca="false">M6*L6</f>
        <v>1759.17504</v>
      </c>
      <c r="O6" s="16"/>
      <c r="P6" s="16"/>
      <c r="Q6" s="16"/>
      <c r="R6" s="17"/>
      <c r="T6" s="16"/>
    </row>
    <row r="7" customFormat="false" ht="12.8" hidden="false" customHeight="false" outlineLevel="0" collapsed="false">
      <c r="A7" s="16" t="s">
        <v>24</v>
      </c>
      <c r="B7" s="16" t="s">
        <v>23</v>
      </c>
      <c r="C7" s="16" t="s">
        <v>25</v>
      </c>
      <c r="D7" s="16" t="n">
        <v>1</v>
      </c>
      <c r="E7" s="16" t="n">
        <v>0.1</v>
      </c>
      <c r="F7" s="19" t="n">
        <v>4091</v>
      </c>
      <c r="G7" s="20" t="n">
        <v>100</v>
      </c>
      <c r="H7" s="20" t="n">
        <f aca="false">E7*F7*G7</f>
        <v>40910</v>
      </c>
      <c r="I7" s="17" t="n">
        <f aca="false">(94.62*14)/F7</f>
        <v>0.323803471033977</v>
      </c>
      <c r="J7" s="17" t="n">
        <f aca="false">J6</f>
        <v>0.5</v>
      </c>
      <c r="K7" s="20" t="n">
        <f aca="false">(H7*I7)/J7*D7</f>
        <v>26493.6</v>
      </c>
      <c r="L7" s="20" t="n">
        <f aca="false">K7*4</f>
        <v>105974.4</v>
      </c>
      <c r="M7" s="21" t="n">
        <v>0.05</v>
      </c>
      <c r="N7" s="20" t="n">
        <f aca="false">M7*L7</f>
        <v>5298.72</v>
      </c>
      <c r="O7" s="16"/>
      <c r="P7" s="16"/>
      <c r="Q7" s="16"/>
      <c r="R7" s="17"/>
      <c r="T7" s="16"/>
    </row>
    <row r="8" customFormat="false" ht="12.8" hidden="false" customHeight="false" outlineLevel="0" collapsed="false">
      <c r="A8" s="16" t="s">
        <v>26</v>
      </c>
      <c r="B8" s="16" t="s">
        <v>21</v>
      </c>
      <c r="C8" s="16" t="s">
        <v>27</v>
      </c>
      <c r="D8" s="16" t="n">
        <v>1</v>
      </c>
      <c r="E8" s="16" t="n">
        <v>0.2</v>
      </c>
      <c r="F8" s="19" t="n">
        <v>21.68</v>
      </c>
      <c r="G8" s="20" t="n">
        <v>1000</v>
      </c>
      <c r="H8" s="20" t="n">
        <f aca="false">E8*F8*G8</f>
        <v>4336</v>
      </c>
      <c r="I8" s="17" t="n">
        <f aca="false">(1.30532*14)/F8</f>
        <v>0.842918819188192</v>
      </c>
      <c r="J8" s="17" t="n">
        <f aca="false">J7</f>
        <v>0.5</v>
      </c>
      <c r="K8" s="20" t="n">
        <f aca="false">(H8*I8)/J8*D8</f>
        <v>7309.792</v>
      </c>
      <c r="L8" s="20" t="n">
        <f aca="false">K8*4</f>
        <v>29239.168</v>
      </c>
      <c r="M8" s="21" t="n">
        <v>0.2</v>
      </c>
      <c r="N8" s="20" t="n">
        <f aca="false">M8*L8</f>
        <v>5847.8336</v>
      </c>
      <c r="O8" s="16"/>
      <c r="P8" s="16"/>
      <c r="Q8" s="16"/>
      <c r="R8" s="17"/>
      <c r="T8" s="16"/>
      <c r="V8" s="1" t="s">
        <v>28</v>
      </c>
      <c r="W8" s="24" t="n">
        <v>20000</v>
      </c>
    </row>
    <row r="9" customFormat="false" ht="12.8" hidden="false" customHeight="false" outlineLevel="0" collapsed="false">
      <c r="A9" s="11" t="s">
        <v>26</v>
      </c>
      <c r="B9" s="11" t="s">
        <v>23</v>
      </c>
      <c r="C9" s="11" t="s">
        <v>27</v>
      </c>
      <c r="D9" s="11" t="n">
        <v>1</v>
      </c>
      <c r="E9" s="11" t="n">
        <v>1</v>
      </c>
      <c r="F9" s="12" t="n">
        <v>22.35</v>
      </c>
      <c r="G9" s="13" t="n">
        <v>200</v>
      </c>
      <c r="H9" s="13" t="n">
        <f aca="false">E9*F9*G9</f>
        <v>4470</v>
      </c>
      <c r="I9" s="14" t="n">
        <f aca="false">(1.30532*14)/F9</f>
        <v>0.817650111856823</v>
      </c>
      <c r="J9" s="14" t="n">
        <f aca="false">J8</f>
        <v>0.5</v>
      </c>
      <c r="K9" s="13" t="n">
        <f aca="false">(H9*I9)/J9*D9</f>
        <v>7309.792</v>
      </c>
      <c r="L9" s="13" t="n">
        <f aca="false">K9*4</f>
        <v>29239.168</v>
      </c>
      <c r="M9" s="15" t="n">
        <v>0.2</v>
      </c>
      <c r="N9" s="13" t="n">
        <f aca="false">M9*L9</f>
        <v>5847.8336</v>
      </c>
      <c r="O9" s="16"/>
      <c r="P9" s="16"/>
      <c r="Q9" s="16"/>
      <c r="R9" s="17"/>
      <c r="T9" s="16"/>
      <c r="V9" s="1" t="s">
        <v>20</v>
      </c>
      <c r="W9" s="24" t="n">
        <f aca="false">W8-N2</f>
        <v>19878.4016</v>
      </c>
    </row>
    <row r="10" customFormat="false" ht="12.8" hidden="false" customHeight="false" outlineLevel="0" collapsed="false">
      <c r="A10" s="16" t="s">
        <v>26</v>
      </c>
      <c r="B10" s="16" t="s">
        <v>23</v>
      </c>
      <c r="C10" s="16" t="s">
        <v>27</v>
      </c>
      <c r="D10" s="16" t="n">
        <v>1</v>
      </c>
      <c r="E10" s="16" t="n">
        <v>1</v>
      </c>
      <c r="F10" s="19" t="n">
        <v>22.35</v>
      </c>
      <c r="G10" s="20" t="n">
        <v>1000</v>
      </c>
      <c r="H10" s="20" t="n">
        <f aca="false">E10*F10*G10</f>
        <v>22350</v>
      </c>
      <c r="I10" s="17" t="n">
        <f aca="false">(1.30532*14)/F10</f>
        <v>0.817650111856823</v>
      </c>
      <c r="J10" s="17" t="n">
        <f aca="false">J9</f>
        <v>0.5</v>
      </c>
      <c r="K10" s="20" t="n">
        <f aca="false">(H10*I10)/J10*D10</f>
        <v>36548.96</v>
      </c>
      <c r="L10" s="20" t="n">
        <f aca="false">K10*4</f>
        <v>146195.84</v>
      </c>
      <c r="M10" s="21" t="n">
        <v>0.2</v>
      </c>
      <c r="N10" s="20" t="n">
        <f aca="false">M10*L10</f>
        <v>29239.168</v>
      </c>
      <c r="O10" s="16"/>
      <c r="P10" s="16"/>
      <c r="Q10" s="16"/>
      <c r="R10" s="17"/>
      <c r="T10" s="16"/>
      <c r="V10" s="1" t="s">
        <v>24</v>
      </c>
      <c r="W10" s="24" t="n">
        <f aca="false">W9-N5</f>
        <v>19573.7252</v>
      </c>
    </row>
    <row r="11" customFormat="false" ht="12.8" hidden="false" customHeight="false" outlineLevel="0" collapsed="false">
      <c r="A11" s="16" t="s">
        <v>29</v>
      </c>
      <c r="B11" s="16"/>
      <c r="C11" s="16" t="s">
        <v>30</v>
      </c>
      <c r="D11" s="16"/>
      <c r="E11" s="16"/>
      <c r="F11" s="19"/>
      <c r="G11" s="20"/>
      <c r="H11" s="20"/>
      <c r="I11" s="17"/>
      <c r="J11" s="17"/>
      <c r="K11" s="20"/>
      <c r="L11" s="20"/>
      <c r="M11" s="21"/>
      <c r="N11" s="20"/>
      <c r="O11" s="16"/>
      <c r="P11" s="16"/>
      <c r="Q11" s="16"/>
      <c r="R11" s="17"/>
      <c r="T11" s="16"/>
      <c r="V11" s="1" t="s">
        <v>31</v>
      </c>
      <c r="W11" s="24" t="n">
        <f aca="false">W10-N9</f>
        <v>13725.8916</v>
      </c>
    </row>
    <row r="12" customFormat="false" ht="12.8" hidden="false" customHeight="false" outlineLevel="0" collapsed="false">
      <c r="A12" s="16"/>
      <c r="B12" s="16"/>
      <c r="C12" s="16"/>
      <c r="D12" s="16"/>
      <c r="E12" s="16"/>
      <c r="F12" s="19"/>
      <c r="G12" s="20"/>
      <c r="H12" s="20"/>
      <c r="I12" s="17"/>
      <c r="J12" s="17"/>
      <c r="K12" s="20"/>
      <c r="L12" s="20"/>
      <c r="M12" s="21"/>
      <c r="N12" s="20"/>
      <c r="O12" s="16"/>
      <c r="P12" s="16"/>
      <c r="Q12" s="16"/>
      <c r="R12" s="17"/>
      <c r="T12" s="16"/>
    </row>
    <row r="13" customFormat="false" ht="12.8" hidden="false" customHeight="false" outlineLevel="0" collapsed="false">
      <c r="A13" s="16"/>
      <c r="B13" s="16"/>
      <c r="C13" s="16"/>
      <c r="D13" s="16"/>
      <c r="E13" s="16"/>
      <c r="F13" s="19"/>
      <c r="G13" s="20"/>
      <c r="H13" s="20"/>
      <c r="I13" s="17"/>
      <c r="J13" s="17"/>
      <c r="K13" s="20"/>
      <c r="L13" s="20"/>
      <c r="M13" s="21"/>
      <c r="N13" s="20"/>
      <c r="O13" s="16"/>
      <c r="P13" s="16"/>
      <c r="Q13" s="16"/>
      <c r="R13" s="17"/>
      <c r="T13" s="16"/>
    </row>
    <row r="14" customFormat="false" ht="12.8" hidden="false" customHeight="false" outlineLevel="0" collapsed="false">
      <c r="A14" s="16"/>
      <c r="B14" s="16"/>
      <c r="C14" s="16"/>
      <c r="D14" s="16"/>
      <c r="E14" s="16"/>
      <c r="F14" s="19"/>
      <c r="G14" s="20"/>
      <c r="H14" s="20"/>
      <c r="I14" s="17"/>
      <c r="J14" s="17"/>
      <c r="K14" s="20"/>
      <c r="L14" s="20"/>
      <c r="M14" s="21"/>
      <c r="N14" s="20"/>
      <c r="O14" s="16"/>
      <c r="P14" s="16"/>
      <c r="Q14" s="16"/>
      <c r="R14" s="17"/>
      <c r="T14" s="16"/>
    </row>
    <row r="15" customFormat="false" ht="12.8" hidden="false" customHeight="false" outlineLevel="0" collapsed="false">
      <c r="A15" s="16"/>
      <c r="B15" s="16"/>
      <c r="C15" s="16"/>
      <c r="D15" s="16"/>
      <c r="E15" s="16"/>
      <c r="F15" s="19"/>
      <c r="G15" s="20"/>
      <c r="H15" s="20"/>
      <c r="I15" s="17"/>
      <c r="J15" s="17"/>
      <c r="K15" s="20"/>
      <c r="L15" s="20"/>
      <c r="M15" s="21"/>
      <c r="N15" s="20"/>
      <c r="O15" s="16"/>
      <c r="P15" s="16"/>
      <c r="Q15" s="16"/>
      <c r="R15" s="17"/>
      <c r="T15" s="16"/>
    </row>
    <row r="16" customFormat="false" ht="12.8" hidden="false" customHeight="false" outlineLevel="0" collapsed="false">
      <c r="A16" s="16"/>
      <c r="B16" s="16"/>
      <c r="C16" s="16"/>
      <c r="D16" s="16"/>
      <c r="E16" s="16"/>
      <c r="F16" s="19"/>
      <c r="G16" s="20"/>
      <c r="H16" s="20"/>
      <c r="I16" s="17"/>
      <c r="J16" s="17"/>
      <c r="K16" s="20"/>
      <c r="L16" s="20"/>
      <c r="M16" s="21"/>
      <c r="N16" s="20"/>
      <c r="O16" s="16"/>
      <c r="P16" s="16"/>
      <c r="Q16" s="16"/>
      <c r="R16" s="17"/>
      <c r="T16" s="16"/>
    </row>
    <row r="17" customFormat="false" ht="12.8" hidden="false" customHeight="false" outlineLevel="0" collapsed="false">
      <c r="A17" s="16"/>
      <c r="B17" s="16"/>
      <c r="C17" s="16"/>
      <c r="D17" s="16"/>
      <c r="E17" s="16"/>
      <c r="F17" s="19"/>
      <c r="G17" s="20"/>
      <c r="H17" s="20"/>
      <c r="I17" s="17"/>
      <c r="J17" s="17"/>
      <c r="K17" s="20"/>
      <c r="L17" s="20"/>
      <c r="M17" s="21"/>
      <c r="N17" s="20"/>
      <c r="O17" s="16"/>
      <c r="P17" s="16"/>
      <c r="Q17" s="16"/>
      <c r="R17" s="17"/>
      <c r="T17" s="16"/>
    </row>
    <row r="18" customFormat="false" ht="12.8" hidden="false" customHeight="false" outlineLevel="0" collapsed="false">
      <c r="A18" s="16"/>
      <c r="B18" s="16"/>
      <c r="C18" s="16"/>
      <c r="D18" s="16"/>
      <c r="E18" s="16"/>
      <c r="F18" s="19"/>
      <c r="G18" s="20"/>
      <c r="H18" s="20"/>
      <c r="I18" s="17"/>
      <c r="J18" s="17"/>
      <c r="K18" s="20"/>
      <c r="L18" s="20"/>
      <c r="M18" s="21"/>
      <c r="N18" s="20"/>
      <c r="O18" s="16"/>
      <c r="P18" s="16"/>
      <c r="Q18" s="16"/>
      <c r="R18" s="17"/>
      <c r="T18" s="16"/>
    </row>
    <row r="19" customFormat="false" ht="12.8" hidden="false" customHeight="false" outlineLevel="0" collapsed="false">
      <c r="A19" s="16"/>
      <c r="B19" s="16"/>
      <c r="C19" s="16"/>
      <c r="D19" s="16"/>
      <c r="E19" s="16"/>
      <c r="F19" s="19"/>
      <c r="G19" s="20"/>
      <c r="H19" s="20"/>
      <c r="I19" s="17"/>
      <c r="J19" s="17"/>
      <c r="K19" s="20"/>
      <c r="L19" s="20"/>
      <c r="M19" s="21"/>
      <c r="N19" s="20"/>
      <c r="O19" s="16"/>
      <c r="P19" s="16"/>
      <c r="Q19" s="16"/>
      <c r="R19" s="17"/>
      <c r="T19" s="16"/>
    </row>
    <row r="20" customFormat="false" ht="12.8" hidden="false" customHeight="false" outlineLevel="0" collapsed="false">
      <c r="A20" s="16"/>
      <c r="B20" s="16"/>
      <c r="C20" s="16"/>
      <c r="D20" s="16"/>
      <c r="E20" s="16"/>
      <c r="F20" s="19"/>
      <c r="G20" s="20"/>
      <c r="H20" s="20"/>
      <c r="I20" s="17"/>
      <c r="J20" s="17"/>
      <c r="K20" s="20"/>
      <c r="L20" s="20"/>
      <c r="M20" s="21"/>
      <c r="N20" s="20"/>
      <c r="O20" s="16"/>
      <c r="P20" s="16"/>
      <c r="Q20" s="16"/>
      <c r="R20" s="17"/>
      <c r="T20" s="16"/>
    </row>
    <row r="21" customFormat="false" ht="12.8" hidden="false" customHeight="false" outlineLevel="0" collapsed="false">
      <c r="A21" s="16"/>
      <c r="B21" s="16"/>
      <c r="C21" s="16"/>
      <c r="D21" s="16"/>
      <c r="E21" s="16"/>
      <c r="F21" s="19"/>
      <c r="G21" s="20"/>
      <c r="H21" s="20"/>
      <c r="I21" s="17"/>
      <c r="J21" s="17"/>
      <c r="K21" s="20"/>
      <c r="L21" s="20"/>
      <c r="M21" s="21"/>
      <c r="N21" s="20"/>
      <c r="O21" s="16"/>
      <c r="P21" s="16"/>
      <c r="Q21" s="16"/>
      <c r="R21" s="17"/>
      <c r="T21" s="16"/>
    </row>
    <row r="22" customFormat="false" ht="12.8" hidden="false" customHeight="false" outlineLevel="0" collapsed="false">
      <c r="A22" s="16"/>
      <c r="B22" s="16"/>
      <c r="C22" s="16"/>
      <c r="D22" s="16"/>
      <c r="E22" s="16"/>
      <c r="F22" s="19"/>
      <c r="G22" s="20"/>
      <c r="H22" s="20"/>
      <c r="I22" s="17"/>
      <c r="J22" s="17"/>
      <c r="K22" s="20"/>
      <c r="L22" s="20"/>
      <c r="M22" s="21"/>
      <c r="N22" s="20"/>
      <c r="O22" s="16"/>
      <c r="P22" s="16"/>
      <c r="Q22" s="16"/>
      <c r="R22" s="17"/>
      <c r="T22" s="16"/>
    </row>
    <row r="23" customFormat="false" ht="12.8" hidden="false" customHeight="false" outlineLevel="0" collapsed="false">
      <c r="A23" s="16"/>
      <c r="B23" s="16"/>
      <c r="C23" s="16"/>
      <c r="D23" s="16"/>
      <c r="E23" s="16"/>
      <c r="F23" s="19"/>
      <c r="G23" s="20"/>
      <c r="H23" s="20"/>
      <c r="I23" s="17"/>
      <c r="J23" s="17"/>
      <c r="K23" s="20"/>
      <c r="L23" s="20"/>
      <c r="M23" s="21"/>
      <c r="N23" s="20"/>
      <c r="O23" s="16"/>
      <c r="P23" s="16"/>
      <c r="Q23" s="16"/>
      <c r="R23" s="17"/>
      <c r="T23" s="16"/>
    </row>
    <row r="24" customFormat="false" ht="12.8" hidden="false" customHeight="false" outlineLevel="0" collapsed="false">
      <c r="A24" s="16"/>
      <c r="B24" s="16"/>
      <c r="C24" s="16"/>
      <c r="D24" s="16"/>
      <c r="E24" s="16"/>
      <c r="F24" s="19"/>
      <c r="G24" s="20"/>
      <c r="H24" s="20"/>
      <c r="I24" s="17"/>
      <c r="J24" s="17"/>
      <c r="K24" s="20"/>
      <c r="L24" s="20"/>
      <c r="M24" s="21"/>
      <c r="N24" s="20"/>
      <c r="O24" s="16"/>
      <c r="P24" s="16"/>
      <c r="Q24" s="16"/>
      <c r="R24" s="17"/>
      <c r="T24" s="16"/>
    </row>
    <row r="25" customFormat="false" ht="12.8" hidden="false" customHeight="false" outlineLevel="0" collapsed="false">
      <c r="A25" s="16"/>
      <c r="B25" s="16"/>
      <c r="C25" s="16"/>
      <c r="D25" s="16"/>
      <c r="E25" s="16"/>
      <c r="F25" s="19"/>
      <c r="G25" s="20"/>
      <c r="H25" s="20"/>
      <c r="I25" s="17"/>
      <c r="J25" s="17"/>
      <c r="K25" s="20"/>
      <c r="L25" s="20"/>
      <c r="M25" s="21"/>
      <c r="N25" s="20"/>
      <c r="O25" s="16"/>
      <c r="P25" s="16"/>
      <c r="Q25" s="16"/>
      <c r="R25" s="17"/>
      <c r="T25" s="16"/>
    </row>
    <row r="26" customFormat="false" ht="12.8" hidden="false" customHeight="false" outlineLevel="0" collapsed="false">
      <c r="A26" s="16"/>
      <c r="B26" s="16"/>
      <c r="C26" s="16"/>
      <c r="D26" s="16"/>
      <c r="E26" s="16"/>
      <c r="F26" s="19"/>
      <c r="G26" s="20"/>
      <c r="H26" s="20"/>
      <c r="I26" s="17"/>
      <c r="J26" s="17"/>
      <c r="K26" s="20"/>
      <c r="L26" s="20"/>
      <c r="M26" s="21"/>
      <c r="N26" s="20"/>
      <c r="O26" s="16"/>
      <c r="P26" s="16"/>
      <c r="Q26" s="16"/>
      <c r="R26" s="17"/>
      <c r="T26" s="16"/>
    </row>
    <row r="27" customFormat="false" ht="12.8" hidden="false" customHeight="false" outlineLevel="0" collapsed="false">
      <c r="A27" s="16"/>
      <c r="B27" s="16"/>
      <c r="C27" s="16"/>
      <c r="D27" s="16"/>
      <c r="E27" s="16"/>
      <c r="F27" s="19"/>
      <c r="G27" s="20"/>
      <c r="H27" s="20"/>
      <c r="I27" s="17"/>
      <c r="J27" s="17"/>
      <c r="K27" s="20"/>
      <c r="L27" s="20"/>
      <c r="M27" s="21"/>
      <c r="N27" s="20"/>
      <c r="O27" s="16"/>
      <c r="P27" s="16"/>
      <c r="Q27" s="16"/>
      <c r="R27" s="17"/>
      <c r="T27" s="16"/>
    </row>
    <row r="28" customFormat="false" ht="12.8" hidden="false" customHeight="false" outlineLevel="0" collapsed="false">
      <c r="A28" s="16"/>
      <c r="B28" s="16"/>
      <c r="C28" s="16"/>
      <c r="D28" s="16"/>
      <c r="E28" s="16"/>
      <c r="F28" s="19"/>
      <c r="G28" s="20"/>
      <c r="H28" s="20"/>
      <c r="I28" s="17"/>
      <c r="J28" s="17"/>
      <c r="K28" s="20"/>
      <c r="L28" s="20"/>
      <c r="M28" s="21"/>
      <c r="N28" s="20"/>
      <c r="O28" s="16"/>
      <c r="P28" s="16"/>
      <c r="Q28" s="16"/>
      <c r="R28" s="17"/>
      <c r="T28" s="16"/>
    </row>
    <row r="29" customFormat="false" ht="12.8" hidden="false" customHeight="false" outlineLevel="0" collapsed="false">
      <c r="A29" s="16"/>
      <c r="B29" s="16"/>
      <c r="C29" s="16"/>
      <c r="D29" s="16"/>
      <c r="E29" s="16"/>
      <c r="F29" s="19"/>
      <c r="G29" s="20"/>
      <c r="H29" s="20"/>
      <c r="I29" s="17"/>
      <c r="J29" s="17"/>
      <c r="K29" s="20"/>
      <c r="L29" s="20"/>
      <c r="M29" s="21"/>
      <c r="N29" s="20"/>
      <c r="O29" s="16"/>
      <c r="P29" s="16"/>
      <c r="Q29" s="16"/>
      <c r="R29" s="17"/>
      <c r="T29" s="16"/>
    </row>
    <row r="30" customFormat="false" ht="12.8" hidden="false" customHeight="false" outlineLevel="0" collapsed="false">
      <c r="A30" s="16"/>
      <c r="B30" s="16"/>
      <c r="C30" s="16"/>
      <c r="D30" s="16"/>
      <c r="E30" s="16"/>
      <c r="F30" s="19"/>
      <c r="G30" s="20"/>
      <c r="H30" s="20"/>
      <c r="I30" s="17"/>
      <c r="J30" s="17"/>
      <c r="K30" s="20"/>
      <c r="L30" s="20"/>
      <c r="M30" s="21"/>
      <c r="N30" s="20"/>
      <c r="O30" s="16"/>
      <c r="P30" s="16"/>
      <c r="Q30" s="16"/>
      <c r="R30" s="17"/>
      <c r="T30" s="16"/>
    </row>
    <row r="31" customFormat="false" ht="12.8" hidden="false" customHeight="false" outlineLevel="0" collapsed="false">
      <c r="A31" s="16"/>
      <c r="B31" s="16"/>
      <c r="C31" s="16"/>
      <c r="D31" s="16"/>
      <c r="E31" s="16"/>
      <c r="F31" s="19"/>
      <c r="G31" s="20"/>
      <c r="H31" s="20"/>
      <c r="I31" s="17"/>
      <c r="J31" s="17"/>
      <c r="K31" s="20"/>
      <c r="L31" s="20"/>
      <c r="M31" s="21"/>
      <c r="N31" s="20"/>
      <c r="O31" s="16"/>
      <c r="P31" s="16"/>
      <c r="Q31" s="16"/>
      <c r="R31" s="17"/>
      <c r="T31" s="16"/>
    </row>
    <row r="32" customFormat="false" ht="12.8" hidden="false" customHeight="false" outlineLevel="0" collapsed="false">
      <c r="A32" s="16"/>
      <c r="B32" s="16"/>
      <c r="C32" s="16"/>
      <c r="D32" s="16"/>
      <c r="E32" s="16"/>
      <c r="F32" s="19"/>
      <c r="G32" s="20"/>
      <c r="H32" s="20"/>
      <c r="I32" s="17"/>
      <c r="J32" s="17"/>
      <c r="K32" s="20"/>
      <c r="L32" s="20"/>
      <c r="M32" s="21"/>
      <c r="N32" s="20"/>
      <c r="O32" s="16"/>
      <c r="P32" s="16"/>
      <c r="Q32" s="16"/>
      <c r="R32" s="17"/>
      <c r="T32" s="16"/>
    </row>
    <row r="33" customFormat="false" ht="12.8" hidden="false" customHeight="false" outlineLevel="0" collapsed="false">
      <c r="A33" s="16"/>
      <c r="B33" s="16"/>
      <c r="C33" s="16"/>
      <c r="D33" s="16"/>
      <c r="E33" s="16"/>
      <c r="F33" s="19"/>
      <c r="G33" s="20"/>
      <c r="H33" s="20"/>
      <c r="I33" s="17"/>
      <c r="J33" s="17"/>
      <c r="K33" s="20"/>
      <c r="L33" s="20"/>
      <c r="M33" s="21"/>
      <c r="N33" s="20"/>
      <c r="O33" s="16"/>
      <c r="P33" s="16"/>
      <c r="Q33" s="16"/>
      <c r="R33" s="17"/>
      <c r="T33" s="16"/>
    </row>
    <row r="34" customFormat="false" ht="12.8" hidden="false" customHeight="false" outlineLevel="0" collapsed="false">
      <c r="A34" s="16"/>
      <c r="B34" s="16"/>
      <c r="C34" s="16"/>
      <c r="D34" s="16"/>
      <c r="E34" s="16"/>
      <c r="F34" s="19"/>
      <c r="G34" s="20"/>
      <c r="H34" s="20"/>
      <c r="I34" s="17"/>
      <c r="J34" s="17"/>
      <c r="K34" s="20"/>
      <c r="L34" s="20"/>
      <c r="M34" s="21"/>
      <c r="N34" s="20"/>
      <c r="O34" s="16"/>
      <c r="P34" s="16"/>
      <c r="Q34" s="16"/>
      <c r="R34" s="17"/>
      <c r="T34" s="16"/>
    </row>
    <row r="35" customFormat="false" ht="12.8" hidden="false" customHeight="false" outlineLevel="0" collapsed="false">
      <c r="A35" s="16"/>
      <c r="B35" s="16"/>
      <c r="C35" s="16"/>
      <c r="D35" s="16"/>
      <c r="E35" s="16"/>
      <c r="F35" s="19"/>
      <c r="G35" s="20"/>
      <c r="H35" s="20"/>
      <c r="I35" s="17"/>
      <c r="J35" s="17"/>
      <c r="K35" s="20"/>
      <c r="L35" s="20"/>
      <c r="M35" s="21"/>
      <c r="N35" s="20"/>
      <c r="O35" s="16"/>
      <c r="P35" s="16"/>
      <c r="Q35" s="16"/>
      <c r="R35" s="17"/>
      <c r="T35" s="16"/>
    </row>
    <row r="36" customFormat="false" ht="12.8" hidden="false" customHeight="false" outlineLevel="0" collapsed="false">
      <c r="A36" s="16"/>
      <c r="B36" s="16"/>
      <c r="C36" s="16"/>
      <c r="D36" s="16"/>
      <c r="E36" s="16"/>
      <c r="F36" s="19"/>
      <c r="G36" s="20"/>
      <c r="H36" s="20"/>
      <c r="I36" s="17"/>
      <c r="J36" s="17"/>
      <c r="K36" s="20"/>
      <c r="L36" s="20"/>
      <c r="M36" s="21"/>
      <c r="N36" s="20"/>
      <c r="O36" s="16"/>
      <c r="P36" s="16"/>
      <c r="Q36" s="16"/>
      <c r="R36" s="17"/>
      <c r="T36" s="16"/>
    </row>
    <row r="37" customFormat="false" ht="12.8" hidden="false" customHeight="false" outlineLevel="0" collapsed="false">
      <c r="A37" s="16"/>
      <c r="B37" s="16"/>
      <c r="C37" s="16"/>
      <c r="D37" s="16"/>
      <c r="E37" s="16"/>
      <c r="F37" s="19"/>
      <c r="G37" s="20"/>
      <c r="H37" s="20"/>
      <c r="I37" s="17"/>
      <c r="J37" s="17"/>
      <c r="K37" s="20"/>
      <c r="L37" s="20"/>
      <c r="M37" s="21"/>
      <c r="N37" s="20"/>
      <c r="O37" s="16"/>
      <c r="P37" s="16"/>
      <c r="Q37" s="16"/>
      <c r="R37" s="17"/>
      <c r="T37" s="16"/>
    </row>
    <row r="38" customFormat="false" ht="12.8" hidden="false" customHeight="false" outlineLevel="0" collapsed="false">
      <c r="A38" s="16"/>
      <c r="B38" s="16"/>
      <c r="C38" s="16"/>
      <c r="D38" s="16"/>
      <c r="E38" s="16"/>
      <c r="F38" s="19"/>
      <c r="G38" s="20"/>
      <c r="H38" s="20"/>
      <c r="I38" s="17"/>
      <c r="J38" s="17"/>
      <c r="K38" s="20"/>
      <c r="L38" s="20"/>
      <c r="M38" s="21"/>
      <c r="N38" s="20"/>
      <c r="O38" s="16"/>
      <c r="P38" s="16"/>
      <c r="Q38" s="16"/>
      <c r="R38" s="17"/>
      <c r="T38" s="16"/>
    </row>
    <row r="39" customFormat="false" ht="12.8" hidden="false" customHeight="false" outlineLevel="0" collapsed="false">
      <c r="A39" s="16"/>
      <c r="B39" s="16"/>
      <c r="C39" s="16"/>
      <c r="D39" s="16"/>
      <c r="E39" s="16"/>
      <c r="F39" s="19"/>
      <c r="G39" s="20"/>
      <c r="H39" s="20"/>
      <c r="I39" s="17"/>
      <c r="J39" s="17"/>
      <c r="K39" s="20"/>
      <c r="L39" s="20"/>
      <c r="M39" s="21"/>
      <c r="N39" s="20"/>
      <c r="O39" s="16"/>
      <c r="P39" s="16"/>
      <c r="Q39" s="16"/>
      <c r="R39" s="17"/>
      <c r="T39" s="16"/>
    </row>
    <row r="40" customFormat="false" ht="12.8" hidden="false" customHeight="false" outlineLevel="0" collapsed="false">
      <c r="A40" s="16"/>
      <c r="B40" s="16"/>
      <c r="C40" s="16"/>
      <c r="D40" s="16"/>
      <c r="E40" s="16"/>
      <c r="F40" s="19"/>
      <c r="G40" s="20"/>
      <c r="H40" s="20"/>
      <c r="I40" s="17"/>
      <c r="J40" s="17"/>
      <c r="K40" s="20"/>
      <c r="L40" s="20"/>
      <c r="M40" s="21"/>
      <c r="N40" s="20"/>
      <c r="O40" s="16"/>
      <c r="P40" s="16"/>
      <c r="Q40" s="16"/>
      <c r="R40" s="17"/>
      <c r="T40" s="16"/>
    </row>
    <row r="41" customFormat="false" ht="12.8" hidden="false" customHeight="false" outlineLevel="0" collapsed="false">
      <c r="A41" s="16"/>
      <c r="B41" s="16"/>
      <c r="C41" s="16"/>
      <c r="D41" s="16"/>
      <c r="E41" s="16"/>
      <c r="F41" s="19"/>
      <c r="G41" s="20"/>
      <c r="H41" s="20"/>
      <c r="I41" s="17"/>
      <c r="J41" s="17"/>
      <c r="K41" s="20"/>
      <c r="L41" s="20"/>
      <c r="M41" s="21"/>
      <c r="N41" s="20"/>
      <c r="O41" s="16"/>
      <c r="P41" s="16"/>
      <c r="Q41" s="16"/>
      <c r="R41" s="17"/>
      <c r="T41" s="16"/>
    </row>
    <row r="42" customFormat="false" ht="12.8" hidden="false" customHeight="false" outlineLevel="0" collapsed="false">
      <c r="A42" s="16"/>
      <c r="B42" s="16"/>
      <c r="C42" s="16"/>
      <c r="D42" s="16"/>
      <c r="E42" s="16"/>
      <c r="F42" s="19"/>
      <c r="G42" s="20"/>
      <c r="H42" s="20"/>
      <c r="I42" s="17"/>
      <c r="J42" s="17"/>
      <c r="K42" s="20"/>
      <c r="L42" s="20"/>
      <c r="M42" s="21"/>
      <c r="N42" s="20"/>
      <c r="O42" s="16"/>
      <c r="P42" s="16"/>
      <c r="Q42" s="16"/>
      <c r="R42" s="17"/>
      <c r="T42" s="16"/>
    </row>
    <row r="43" customFormat="false" ht="12.8" hidden="false" customHeight="false" outlineLevel="0" collapsed="false">
      <c r="A43" s="16"/>
      <c r="B43" s="16"/>
      <c r="C43" s="16"/>
      <c r="D43" s="16"/>
      <c r="E43" s="16"/>
      <c r="F43" s="19"/>
      <c r="G43" s="20"/>
      <c r="H43" s="20"/>
      <c r="I43" s="17"/>
      <c r="J43" s="17"/>
      <c r="K43" s="20"/>
      <c r="L43" s="20"/>
      <c r="M43" s="21"/>
      <c r="N43" s="20"/>
      <c r="O43" s="16"/>
      <c r="P43" s="16"/>
      <c r="Q43" s="16"/>
      <c r="R43" s="17"/>
      <c r="T43" s="16"/>
    </row>
    <row r="44" customFormat="false" ht="12.8" hidden="false" customHeight="false" outlineLevel="0" collapsed="false">
      <c r="A44" s="16"/>
      <c r="B44" s="16"/>
      <c r="C44" s="16"/>
      <c r="D44" s="16"/>
      <c r="E44" s="16"/>
      <c r="F44" s="19"/>
      <c r="G44" s="20"/>
      <c r="H44" s="20"/>
      <c r="I44" s="17"/>
      <c r="J44" s="17"/>
      <c r="K44" s="20"/>
      <c r="L44" s="20"/>
      <c r="M44" s="21"/>
      <c r="N44" s="20"/>
      <c r="O44" s="16"/>
      <c r="P44" s="16"/>
      <c r="Q44" s="16"/>
      <c r="R44" s="17"/>
      <c r="T44" s="16"/>
    </row>
    <row r="45" customFormat="false" ht="12.8" hidden="false" customHeight="false" outlineLevel="0" collapsed="false">
      <c r="A45" s="16"/>
      <c r="B45" s="16"/>
      <c r="C45" s="16"/>
      <c r="D45" s="16"/>
      <c r="E45" s="16"/>
      <c r="F45" s="19"/>
      <c r="G45" s="20"/>
      <c r="H45" s="20"/>
      <c r="I45" s="17"/>
      <c r="J45" s="17"/>
      <c r="K45" s="20"/>
      <c r="L45" s="20"/>
      <c r="M45" s="21"/>
      <c r="N45" s="20"/>
      <c r="O45" s="16"/>
      <c r="P45" s="16"/>
      <c r="Q45" s="16"/>
      <c r="R45" s="17"/>
      <c r="T45" s="16"/>
    </row>
    <row r="46" customFormat="false" ht="12.8" hidden="false" customHeight="false" outlineLevel="0" collapsed="false">
      <c r="A46" s="16"/>
      <c r="B46" s="16"/>
      <c r="C46" s="16"/>
      <c r="D46" s="16"/>
      <c r="E46" s="16"/>
      <c r="F46" s="19"/>
      <c r="G46" s="20"/>
      <c r="H46" s="20"/>
      <c r="I46" s="17"/>
      <c r="J46" s="17"/>
      <c r="K46" s="20"/>
      <c r="L46" s="20"/>
      <c r="M46" s="21"/>
      <c r="N46" s="20"/>
      <c r="O46" s="16"/>
      <c r="P46" s="16"/>
      <c r="Q46" s="16"/>
      <c r="R46" s="17"/>
      <c r="T46" s="16"/>
    </row>
    <row r="47" customFormat="false" ht="12.8" hidden="false" customHeight="false" outlineLevel="0" collapsed="false">
      <c r="A47" s="16"/>
      <c r="B47" s="16"/>
      <c r="C47" s="16"/>
      <c r="D47" s="16"/>
      <c r="E47" s="16"/>
      <c r="F47" s="19"/>
      <c r="G47" s="20"/>
      <c r="H47" s="20"/>
      <c r="I47" s="17"/>
      <c r="J47" s="17"/>
      <c r="K47" s="20"/>
      <c r="L47" s="20"/>
      <c r="M47" s="21"/>
      <c r="N47" s="20"/>
      <c r="O47" s="16"/>
      <c r="P47" s="16"/>
      <c r="Q47" s="16"/>
      <c r="R47" s="17"/>
      <c r="T47" s="16"/>
    </row>
    <row r="48" customFormat="false" ht="12.8" hidden="false" customHeight="false" outlineLevel="0" collapsed="false">
      <c r="A48" s="16"/>
      <c r="B48" s="16"/>
      <c r="C48" s="16"/>
      <c r="D48" s="16"/>
      <c r="E48" s="16"/>
      <c r="F48" s="19"/>
      <c r="G48" s="20"/>
      <c r="H48" s="20"/>
      <c r="I48" s="17"/>
      <c r="J48" s="17"/>
      <c r="K48" s="20"/>
      <c r="L48" s="20"/>
      <c r="M48" s="21"/>
      <c r="N48" s="20"/>
      <c r="O48" s="16"/>
      <c r="P48" s="16"/>
      <c r="Q48" s="16"/>
      <c r="R48" s="17"/>
      <c r="T48" s="16"/>
    </row>
    <row r="49" customFormat="false" ht="12.8" hidden="false" customHeight="false" outlineLevel="0" collapsed="false">
      <c r="A49" s="16"/>
      <c r="B49" s="16"/>
      <c r="C49" s="16"/>
      <c r="D49" s="16"/>
      <c r="E49" s="16"/>
      <c r="F49" s="19"/>
      <c r="G49" s="20"/>
      <c r="H49" s="20"/>
      <c r="I49" s="17"/>
      <c r="J49" s="17"/>
      <c r="K49" s="20"/>
      <c r="L49" s="20"/>
      <c r="M49" s="21"/>
      <c r="N49" s="20"/>
      <c r="O49" s="16"/>
      <c r="P49" s="16"/>
      <c r="Q49" s="16"/>
      <c r="R49" s="17"/>
      <c r="T49" s="16"/>
    </row>
    <row r="50" customFormat="false" ht="12.8" hidden="false" customHeight="false" outlineLevel="0" collapsed="false">
      <c r="A50" s="16"/>
      <c r="B50" s="16"/>
      <c r="C50" s="16"/>
      <c r="D50" s="16"/>
      <c r="E50" s="16"/>
      <c r="F50" s="19"/>
      <c r="G50" s="20"/>
      <c r="H50" s="20"/>
      <c r="I50" s="17"/>
      <c r="J50" s="17"/>
      <c r="K50" s="20"/>
      <c r="L50" s="20"/>
      <c r="M50" s="21"/>
      <c r="N50" s="20"/>
      <c r="O50" s="16"/>
      <c r="P50" s="16"/>
      <c r="Q50" s="16"/>
      <c r="R50" s="17"/>
      <c r="T50" s="16"/>
    </row>
    <row r="51" customFormat="false" ht="12.8" hidden="false" customHeight="false" outlineLevel="0" collapsed="false">
      <c r="A51" s="16"/>
      <c r="B51" s="16"/>
      <c r="C51" s="16"/>
      <c r="D51" s="16"/>
      <c r="E51" s="16"/>
      <c r="F51" s="19"/>
      <c r="G51" s="20"/>
      <c r="H51" s="20"/>
      <c r="I51" s="17"/>
      <c r="J51" s="17"/>
      <c r="K51" s="20"/>
      <c r="L51" s="20"/>
      <c r="M51" s="21"/>
      <c r="N51" s="20"/>
      <c r="O51" s="16"/>
      <c r="P51" s="16"/>
      <c r="Q51" s="16"/>
      <c r="R51" s="17"/>
      <c r="T51" s="16"/>
    </row>
    <row r="52" customFormat="false" ht="12.8" hidden="false" customHeight="false" outlineLevel="0" collapsed="false">
      <c r="A52" s="16"/>
      <c r="B52" s="16"/>
      <c r="C52" s="16"/>
      <c r="D52" s="16"/>
      <c r="E52" s="16"/>
      <c r="F52" s="19"/>
      <c r="G52" s="20"/>
      <c r="H52" s="20"/>
      <c r="I52" s="17"/>
      <c r="J52" s="17"/>
      <c r="K52" s="20"/>
      <c r="L52" s="20"/>
      <c r="M52" s="21"/>
      <c r="N52" s="20"/>
      <c r="O52" s="16"/>
      <c r="P52" s="16"/>
      <c r="Q52" s="16"/>
      <c r="R52" s="17"/>
      <c r="T52" s="16"/>
    </row>
    <row r="53" customFormat="false" ht="12.8" hidden="false" customHeight="false" outlineLevel="0" collapsed="false">
      <c r="A53" s="16"/>
      <c r="B53" s="16"/>
      <c r="C53" s="16"/>
      <c r="D53" s="16"/>
      <c r="E53" s="16"/>
      <c r="F53" s="19"/>
      <c r="G53" s="20"/>
      <c r="H53" s="20"/>
      <c r="I53" s="17"/>
      <c r="J53" s="17"/>
      <c r="K53" s="20"/>
      <c r="L53" s="20"/>
      <c r="M53" s="21"/>
      <c r="N53" s="20"/>
      <c r="O53" s="16"/>
      <c r="P53" s="16"/>
      <c r="Q53" s="16"/>
      <c r="R53" s="17"/>
      <c r="T53" s="16"/>
    </row>
    <row r="54" customFormat="false" ht="12.8" hidden="false" customHeight="false" outlineLevel="0" collapsed="false">
      <c r="A54" s="16"/>
      <c r="B54" s="16"/>
      <c r="C54" s="16"/>
      <c r="D54" s="16"/>
      <c r="E54" s="16"/>
      <c r="F54" s="19"/>
      <c r="G54" s="20"/>
      <c r="H54" s="20"/>
      <c r="I54" s="17"/>
      <c r="J54" s="17"/>
      <c r="K54" s="20"/>
      <c r="L54" s="20"/>
      <c r="M54" s="21"/>
      <c r="N54" s="20"/>
      <c r="O54" s="16"/>
      <c r="P54" s="16"/>
      <c r="Q54" s="16"/>
      <c r="R54" s="17"/>
      <c r="T54" s="1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Roman,Normal"&amp;12Sida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17" activeCellId="0" sqref="B217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0" width="18.92"/>
  </cols>
  <sheetData>
    <row r="1" customFormat="false" ht="12.8" hidden="false" customHeight="false" outlineLevel="0" collapsed="false">
      <c r="A1" s="6" t="s">
        <v>0</v>
      </c>
    </row>
    <row r="2" customFormat="false" ht="12.8" hidden="false" customHeight="false" outlineLevel="0" collapsed="false">
      <c r="A2" s="25" t="s">
        <v>32</v>
      </c>
    </row>
    <row r="3" customFormat="false" ht="12.8" hidden="false" customHeight="false" outlineLevel="0" collapsed="false">
      <c r="A3" s="25" t="s">
        <v>33</v>
      </c>
    </row>
    <row r="4" customFormat="false" ht="12.8" hidden="false" customHeight="false" outlineLevel="0" collapsed="false">
      <c r="A4" s="25" t="s">
        <v>20</v>
      </c>
    </row>
    <row r="5" customFormat="false" ht="12.8" hidden="false" customHeight="false" outlineLevel="0" collapsed="false">
      <c r="A5" s="25" t="s">
        <v>34</v>
      </c>
    </row>
    <row r="6" customFormat="false" ht="12.8" hidden="false" customHeight="false" outlineLevel="0" collapsed="false">
      <c r="A6" s="25" t="s">
        <v>35</v>
      </c>
    </row>
    <row r="7" customFormat="false" ht="12.8" hidden="false" customHeight="false" outlineLevel="0" collapsed="false">
      <c r="A7" s="25" t="s">
        <v>36</v>
      </c>
    </row>
    <row r="8" customFormat="false" ht="12.8" hidden="false" customHeight="false" outlineLevel="0" collapsed="false">
      <c r="A8" s="25" t="s">
        <v>37</v>
      </c>
    </row>
    <row r="9" customFormat="false" ht="23.85" hidden="false" customHeight="false" outlineLevel="0" collapsed="false">
      <c r="A9" s="25" t="s">
        <v>38</v>
      </c>
    </row>
    <row r="10" customFormat="false" ht="12.8" hidden="false" customHeight="false" outlineLevel="0" collapsed="false">
      <c r="A10" s="25" t="s">
        <v>39</v>
      </c>
    </row>
    <row r="11" customFormat="false" ht="23.85" hidden="false" customHeight="false" outlineLevel="0" collapsed="false">
      <c r="A11" s="25" t="s">
        <v>40</v>
      </c>
    </row>
    <row r="12" customFormat="false" ht="12.8" hidden="false" customHeight="false" outlineLevel="0" collapsed="false">
      <c r="A12" s="25" t="s">
        <v>41</v>
      </c>
    </row>
    <row r="13" customFormat="false" ht="23.85" hidden="false" customHeight="false" outlineLevel="0" collapsed="false">
      <c r="A13" s="25" t="s">
        <v>42</v>
      </c>
    </row>
    <row r="14" customFormat="false" ht="23.85" hidden="false" customHeight="false" outlineLevel="0" collapsed="false">
      <c r="A14" s="25" t="s">
        <v>43</v>
      </c>
    </row>
    <row r="15" customFormat="false" ht="12.8" hidden="false" customHeight="false" outlineLevel="0" collapsed="false">
      <c r="A15" s="25" t="s">
        <v>44</v>
      </c>
    </row>
    <row r="16" customFormat="false" ht="12.8" hidden="false" customHeight="false" outlineLevel="0" collapsed="false">
      <c r="A16" s="25" t="s">
        <v>45</v>
      </c>
    </row>
    <row r="17" customFormat="false" ht="23.85" hidden="false" customHeight="false" outlineLevel="0" collapsed="false">
      <c r="A17" s="25" t="s">
        <v>46</v>
      </c>
    </row>
    <row r="18" customFormat="false" ht="12.8" hidden="false" customHeight="false" outlineLevel="0" collapsed="false">
      <c r="A18" s="25" t="s">
        <v>47</v>
      </c>
    </row>
    <row r="19" customFormat="false" ht="23.85" hidden="false" customHeight="false" outlineLevel="0" collapsed="false">
      <c r="A19" s="25" t="s">
        <v>48</v>
      </c>
    </row>
    <row r="20" customFormat="false" ht="12.8" hidden="false" customHeight="false" outlineLevel="0" collapsed="false">
      <c r="A20" s="25" t="s">
        <v>49</v>
      </c>
    </row>
    <row r="21" customFormat="false" ht="23.85" hidden="false" customHeight="false" outlineLevel="0" collapsed="false">
      <c r="A21" s="25" t="s">
        <v>50</v>
      </c>
    </row>
    <row r="22" customFormat="false" ht="12.8" hidden="false" customHeight="false" outlineLevel="0" collapsed="false">
      <c r="A22" s="25" t="s">
        <v>51</v>
      </c>
    </row>
    <row r="23" customFormat="false" ht="12.8" hidden="false" customHeight="false" outlineLevel="0" collapsed="false">
      <c r="A23" s="25" t="s">
        <v>52</v>
      </c>
    </row>
    <row r="24" customFormat="false" ht="23.85" hidden="false" customHeight="false" outlineLevel="0" collapsed="false">
      <c r="A24" s="25" t="s">
        <v>53</v>
      </c>
    </row>
    <row r="25" customFormat="false" ht="12.8" hidden="false" customHeight="false" outlineLevel="0" collapsed="false">
      <c r="A25" s="25" t="s">
        <v>54</v>
      </c>
    </row>
    <row r="26" customFormat="false" ht="12.8" hidden="false" customHeight="false" outlineLevel="0" collapsed="false">
      <c r="A26" s="25" t="s">
        <v>55</v>
      </c>
    </row>
    <row r="27" customFormat="false" ht="23.85" hidden="false" customHeight="false" outlineLevel="0" collapsed="false">
      <c r="A27" s="25" t="s">
        <v>56</v>
      </c>
    </row>
    <row r="28" customFormat="false" ht="23.85" hidden="false" customHeight="false" outlineLevel="0" collapsed="false">
      <c r="A28" s="25" t="s">
        <v>57</v>
      </c>
    </row>
    <row r="29" customFormat="false" ht="12.8" hidden="false" customHeight="false" outlineLevel="0" collapsed="false">
      <c r="A29" s="25" t="s">
        <v>58</v>
      </c>
    </row>
    <row r="30" customFormat="false" ht="23.85" hidden="false" customHeight="false" outlineLevel="0" collapsed="false">
      <c r="A30" s="25" t="s">
        <v>59</v>
      </c>
    </row>
    <row r="31" customFormat="false" ht="23.85" hidden="false" customHeight="false" outlineLevel="0" collapsed="false">
      <c r="A31" s="25" t="s">
        <v>60</v>
      </c>
    </row>
    <row r="32" customFormat="false" ht="12.8" hidden="false" customHeight="false" outlineLevel="0" collapsed="false">
      <c r="A32" s="25" t="s">
        <v>61</v>
      </c>
    </row>
    <row r="33" customFormat="false" ht="23.85" hidden="false" customHeight="false" outlineLevel="0" collapsed="false">
      <c r="A33" s="25" t="s">
        <v>62</v>
      </c>
    </row>
    <row r="34" customFormat="false" ht="23.85" hidden="false" customHeight="false" outlineLevel="0" collapsed="false">
      <c r="A34" s="25" t="s">
        <v>63</v>
      </c>
    </row>
    <row r="35" customFormat="false" ht="23.85" hidden="false" customHeight="false" outlineLevel="0" collapsed="false">
      <c r="A35" s="25" t="s">
        <v>64</v>
      </c>
    </row>
    <row r="36" customFormat="false" ht="23.85" hidden="false" customHeight="false" outlineLevel="0" collapsed="false">
      <c r="A36" s="25" t="s">
        <v>65</v>
      </c>
    </row>
    <row r="37" customFormat="false" ht="12.8" hidden="false" customHeight="false" outlineLevel="0" collapsed="false">
      <c r="A37" s="25" t="s">
        <v>66</v>
      </c>
    </row>
    <row r="38" customFormat="false" ht="23.85" hidden="false" customHeight="false" outlineLevel="0" collapsed="false">
      <c r="A38" s="25" t="s">
        <v>67</v>
      </c>
    </row>
    <row r="39" customFormat="false" ht="23.85" hidden="false" customHeight="false" outlineLevel="0" collapsed="false">
      <c r="A39" s="25" t="s">
        <v>68</v>
      </c>
    </row>
    <row r="40" customFormat="false" ht="46.25" hidden="false" customHeight="false" outlineLevel="0" collapsed="false">
      <c r="A40" s="25" t="s">
        <v>69</v>
      </c>
    </row>
    <row r="41" customFormat="false" ht="35.05" hidden="false" customHeight="false" outlineLevel="0" collapsed="false">
      <c r="A41" s="25" t="s">
        <v>70</v>
      </c>
    </row>
    <row r="42" customFormat="false" ht="23.85" hidden="false" customHeight="false" outlineLevel="0" collapsed="false">
      <c r="A42" s="25" t="s">
        <v>71</v>
      </c>
    </row>
    <row r="43" customFormat="false" ht="35.05" hidden="false" customHeight="false" outlineLevel="0" collapsed="false">
      <c r="A43" s="25" t="s">
        <v>72</v>
      </c>
    </row>
    <row r="44" customFormat="false" ht="46.25" hidden="false" customHeight="false" outlineLevel="0" collapsed="false">
      <c r="A44" s="25" t="s">
        <v>73</v>
      </c>
    </row>
    <row r="45" customFormat="false" ht="35.05" hidden="false" customHeight="false" outlineLevel="0" collapsed="false">
      <c r="A45" s="25" t="s">
        <v>74</v>
      </c>
    </row>
    <row r="46" customFormat="false" ht="12.8" hidden="false" customHeight="false" outlineLevel="0" collapsed="false">
      <c r="A46" s="25" t="s">
        <v>75</v>
      </c>
    </row>
    <row r="47" customFormat="false" ht="23.85" hidden="false" customHeight="false" outlineLevel="0" collapsed="false">
      <c r="A47" s="25" t="s">
        <v>76</v>
      </c>
    </row>
    <row r="48" customFormat="false" ht="23.85" hidden="false" customHeight="false" outlineLevel="0" collapsed="false">
      <c r="A48" s="25" t="s">
        <v>77</v>
      </c>
    </row>
    <row r="49" customFormat="false" ht="12.8" hidden="false" customHeight="false" outlineLevel="0" collapsed="false">
      <c r="A49" s="25" t="s">
        <v>78</v>
      </c>
    </row>
    <row r="50" customFormat="false" ht="12.8" hidden="false" customHeight="false" outlineLevel="0" collapsed="false">
      <c r="A50" s="25" t="s">
        <v>79</v>
      </c>
    </row>
    <row r="51" customFormat="false" ht="12.8" hidden="false" customHeight="false" outlineLevel="0" collapsed="false">
      <c r="A51" s="25" t="s">
        <v>80</v>
      </c>
    </row>
    <row r="52" customFormat="false" ht="12.8" hidden="false" customHeight="false" outlineLevel="0" collapsed="false">
      <c r="A52" s="25" t="s">
        <v>81</v>
      </c>
    </row>
    <row r="53" customFormat="false" ht="12.8" hidden="false" customHeight="false" outlineLevel="0" collapsed="false">
      <c r="A53" s="25" t="s">
        <v>82</v>
      </c>
    </row>
    <row r="54" customFormat="false" ht="12.8" hidden="false" customHeight="false" outlineLevel="0" collapsed="false">
      <c r="A54" s="25" t="s">
        <v>83</v>
      </c>
    </row>
    <row r="55" customFormat="false" ht="12.8" hidden="false" customHeight="false" outlineLevel="0" collapsed="false">
      <c r="A55" s="25" t="s">
        <v>84</v>
      </c>
    </row>
    <row r="56" customFormat="false" ht="12.8" hidden="false" customHeight="false" outlineLevel="0" collapsed="false">
      <c r="A56" s="25" t="s">
        <v>85</v>
      </c>
    </row>
    <row r="57" customFormat="false" ht="12.8" hidden="false" customHeight="false" outlineLevel="0" collapsed="false">
      <c r="A57" s="25" t="s">
        <v>86</v>
      </c>
    </row>
    <row r="58" customFormat="false" ht="12.8" hidden="false" customHeight="false" outlineLevel="0" collapsed="false">
      <c r="A58" s="25" t="s">
        <v>87</v>
      </c>
    </row>
    <row r="59" customFormat="false" ht="12.8" hidden="false" customHeight="false" outlineLevel="0" collapsed="false">
      <c r="A59" s="25" t="s">
        <v>88</v>
      </c>
    </row>
    <row r="60" customFormat="false" ht="12.8" hidden="false" customHeight="false" outlineLevel="0" collapsed="false">
      <c r="A60" s="25" t="s">
        <v>89</v>
      </c>
    </row>
    <row r="61" customFormat="false" ht="12.8" hidden="false" customHeight="false" outlineLevel="0" collapsed="false">
      <c r="A61" s="25" t="s">
        <v>90</v>
      </c>
    </row>
    <row r="62" customFormat="false" ht="12.8" hidden="false" customHeight="false" outlineLevel="0" collapsed="false">
      <c r="A62" s="25" t="s">
        <v>91</v>
      </c>
    </row>
    <row r="63" customFormat="false" ht="12.8" hidden="false" customHeight="false" outlineLevel="0" collapsed="false">
      <c r="A63" s="25" t="s">
        <v>92</v>
      </c>
    </row>
    <row r="64" customFormat="false" ht="12.8" hidden="false" customHeight="false" outlineLevel="0" collapsed="false">
      <c r="A64" s="25" t="s">
        <v>93</v>
      </c>
    </row>
    <row r="65" customFormat="false" ht="12.8" hidden="false" customHeight="false" outlineLevel="0" collapsed="false">
      <c r="A65" s="25" t="s">
        <v>94</v>
      </c>
    </row>
    <row r="66" customFormat="false" ht="12.8" hidden="false" customHeight="false" outlineLevel="0" collapsed="false">
      <c r="A66" s="25" t="s">
        <v>95</v>
      </c>
    </row>
    <row r="67" customFormat="false" ht="12.8" hidden="false" customHeight="false" outlineLevel="0" collapsed="false">
      <c r="A67" s="25" t="s">
        <v>96</v>
      </c>
    </row>
    <row r="68" customFormat="false" ht="12.8" hidden="false" customHeight="false" outlineLevel="0" collapsed="false">
      <c r="A68" s="25" t="s">
        <v>97</v>
      </c>
    </row>
    <row r="69" customFormat="false" ht="12.8" hidden="false" customHeight="false" outlineLevel="0" collapsed="false">
      <c r="A69" s="25" t="s">
        <v>98</v>
      </c>
    </row>
    <row r="70" customFormat="false" ht="12.8" hidden="false" customHeight="false" outlineLevel="0" collapsed="false">
      <c r="A70" s="25" t="s">
        <v>99</v>
      </c>
    </row>
    <row r="71" customFormat="false" ht="12.8" hidden="false" customHeight="false" outlineLevel="0" collapsed="false">
      <c r="A71" s="25" t="s">
        <v>100</v>
      </c>
    </row>
    <row r="72" customFormat="false" ht="12.8" hidden="false" customHeight="false" outlineLevel="0" collapsed="false">
      <c r="A72" s="25" t="s">
        <v>101</v>
      </c>
    </row>
    <row r="73" customFormat="false" ht="12.8" hidden="false" customHeight="false" outlineLevel="0" collapsed="false">
      <c r="A73" s="25" t="s">
        <v>102</v>
      </c>
    </row>
    <row r="74" customFormat="false" ht="12.8" hidden="false" customHeight="false" outlineLevel="0" collapsed="false">
      <c r="A74" s="25" t="s">
        <v>103</v>
      </c>
    </row>
    <row r="75" customFormat="false" ht="12.8" hidden="false" customHeight="false" outlineLevel="0" collapsed="false">
      <c r="A75" s="25" t="s">
        <v>104</v>
      </c>
    </row>
    <row r="76" customFormat="false" ht="12.8" hidden="false" customHeight="false" outlineLevel="0" collapsed="false">
      <c r="A76" s="25" t="s">
        <v>105</v>
      </c>
    </row>
    <row r="77" customFormat="false" ht="12.8" hidden="false" customHeight="false" outlineLevel="0" collapsed="false">
      <c r="A77" s="25" t="s">
        <v>106</v>
      </c>
    </row>
    <row r="78" customFormat="false" ht="12.8" hidden="false" customHeight="false" outlineLevel="0" collapsed="false">
      <c r="A78" s="25" t="s">
        <v>107</v>
      </c>
    </row>
    <row r="79" customFormat="false" ht="12.8" hidden="false" customHeight="false" outlineLevel="0" collapsed="false">
      <c r="A79" s="25" t="s">
        <v>108</v>
      </c>
    </row>
    <row r="80" customFormat="false" ht="12.8" hidden="false" customHeight="false" outlineLevel="0" collapsed="false">
      <c r="A80" s="25" t="s">
        <v>109</v>
      </c>
    </row>
    <row r="81" customFormat="false" ht="12.8" hidden="false" customHeight="false" outlineLevel="0" collapsed="false">
      <c r="A81" s="25" t="s">
        <v>110</v>
      </c>
    </row>
    <row r="82" customFormat="false" ht="12.8" hidden="false" customHeight="false" outlineLevel="0" collapsed="false">
      <c r="A82" s="25" t="s">
        <v>111</v>
      </c>
    </row>
    <row r="83" customFormat="false" ht="12.8" hidden="false" customHeight="false" outlineLevel="0" collapsed="false">
      <c r="A83" s="25" t="s">
        <v>112</v>
      </c>
    </row>
    <row r="84" customFormat="false" ht="12.8" hidden="false" customHeight="false" outlineLevel="0" collapsed="false">
      <c r="A84" s="25" t="s">
        <v>113</v>
      </c>
    </row>
    <row r="85" customFormat="false" ht="12.8" hidden="false" customHeight="false" outlineLevel="0" collapsed="false">
      <c r="A85" s="25" t="s">
        <v>114</v>
      </c>
    </row>
    <row r="86" customFormat="false" ht="12.8" hidden="false" customHeight="false" outlineLevel="0" collapsed="false">
      <c r="A86" s="25" t="s">
        <v>115</v>
      </c>
    </row>
    <row r="87" customFormat="false" ht="12.8" hidden="false" customHeight="false" outlineLevel="0" collapsed="false">
      <c r="A87" s="25" t="s">
        <v>116</v>
      </c>
    </row>
    <row r="88" customFormat="false" ht="12.8" hidden="false" customHeight="false" outlineLevel="0" collapsed="false">
      <c r="A88" s="25" t="s">
        <v>117</v>
      </c>
    </row>
    <row r="89" customFormat="false" ht="12.8" hidden="false" customHeight="false" outlineLevel="0" collapsed="false">
      <c r="A89" s="25" t="s">
        <v>118</v>
      </c>
    </row>
    <row r="90" customFormat="false" ht="12.8" hidden="false" customHeight="false" outlineLevel="0" collapsed="false">
      <c r="A90" s="25" t="s">
        <v>119</v>
      </c>
    </row>
    <row r="91" customFormat="false" ht="12.8" hidden="false" customHeight="false" outlineLevel="0" collapsed="false">
      <c r="A91" s="25" t="s">
        <v>120</v>
      </c>
    </row>
    <row r="92" customFormat="false" ht="12.8" hidden="false" customHeight="false" outlineLevel="0" collapsed="false">
      <c r="A92" s="25" t="s">
        <v>121</v>
      </c>
    </row>
    <row r="93" customFormat="false" ht="12.8" hidden="false" customHeight="false" outlineLevel="0" collapsed="false">
      <c r="A93" s="25" t="s">
        <v>122</v>
      </c>
    </row>
    <row r="94" customFormat="false" ht="12.8" hidden="false" customHeight="false" outlineLevel="0" collapsed="false">
      <c r="A94" s="25" t="s">
        <v>123</v>
      </c>
    </row>
    <row r="95" customFormat="false" ht="12.8" hidden="false" customHeight="false" outlineLevel="0" collapsed="false">
      <c r="A95" s="25" t="s">
        <v>124</v>
      </c>
    </row>
    <row r="96" customFormat="false" ht="12.8" hidden="false" customHeight="false" outlineLevel="0" collapsed="false">
      <c r="A96" s="25" t="s">
        <v>125</v>
      </c>
    </row>
    <row r="97" customFormat="false" ht="12.8" hidden="false" customHeight="false" outlineLevel="0" collapsed="false">
      <c r="A97" s="25" t="s">
        <v>126</v>
      </c>
    </row>
    <row r="98" customFormat="false" ht="12.8" hidden="false" customHeight="false" outlineLevel="0" collapsed="false">
      <c r="A98" s="25" t="s">
        <v>127</v>
      </c>
    </row>
    <row r="99" customFormat="false" ht="12.8" hidden="false" customHeight="false" outlineLevel="0" collapsed="false">
      <c r="A99" s="25" t="s">
        <v>128</v>
      </c>
    </row>
    <row r="100" customFormat="false" ht="12.8" hidden="false" customHeight="false" outlineLevel="0" collapsed="false">
      <c r="A100" s="25" t="s">
        <v>129</v>
      </c>
    </row>
    <row r="101" customFormat="false" ht="12.8" hidden="false" customHeight="false" outlineLevel="0" collapsed="false">
      <c r="A101" s="25" t="s">
        <v>130</v>
      </c>
    </row>
    <row r="102" customFormat="false" ht="12.8" hidden="false" customHeight="false" outlineLevel="0" collapsed="false">
      <c r="A102" s="25" t="s">
        <v>131</v>
      </c>
    </row>
    <row r="103" customFormat="false" ht="12.8" hidden="false" customHeight="false" outlineLevel="0" collapsed="false">
      <c r="A103" s="25" t="s">
        <v>132</v>
      </c>
    </row>
    <row r="104" customFormat="false" ht="12.8" hidden="false" customHeight="false" outlineLevel="0" collapsed="false">
      <c r="A104" s="25" t="s">
        <v>133</v>
      </c>
    </row>
    <row r="105" customFormat="false" ht="12.8" hidden="false" customHeight="false" outlineLevel="0" collapsed="false">
      <c r="A105" s="25" t="s">
        <v>134</v>
      </c>
    </row>
    <row r="106" customFormat="false" ht="12.8" hidden="false" customHeight="false" outlineLevel="0" collapsed="false">
      <c r="A106" s="25" t="s">
        <v>135</v>
      </c>
    </row>
    <row r="107" customFormat="false" ht="12.8" hidden="false" customHeight="false" outlineLevel="0" collapsed="false">
      <c r="A107" s="25" t="s">
        <v>136</v>
      </c>
    </row>
    <row r="108" customFormat="false" ht="12.8" hidden="false" customHeight="false" outlineLevel="0" collapsed="false">
      <c r="A108" s="25" t="s">
        <v>137</v>
      </c>
    </row>
    <row r="109" customFormat="false" ht="12.8" hidden="false" customHeight="false" outlineLevel="0" collapsed="false">
      <c r="A109" s="25" t="s">
        <v>138</v>
      </c>
    </row>
    <row r="110" customFormat="false" ht="12.8" hidden="false" customHeight="false" outlineLevel="0" collapsed="false">
      <c r="A110" s="25" t="s">
        <v>139</v>
      </c>
    </row>
    <row r="111" customFormat="false" ht="12.8" hidden="false" customHeight="false" outlineLevel="0" collapsed="false">
      <c r="A111" s="25" t="s">
        <v>140</v>
      </c>
    </row>
    <row r="112" customFormat="false" ht="12.8" hidden="false" customHeight="false" outlineLevel="0" collapsed="false">
      <c r="A112" s="25" t="s">
        <v>141</v>
      </c>
    </row>
    <row r="113" customFormat="false" ht="12.8" hidden="false" customHeight="false" outlineLevel="0" collapsed="false">
      <c r="A113" s="25" t="s">
        <v>142</v>
      </c>
    </row>
    <row r="114" customFormat="false" ht="12.8" hidden="false" customHeight="false" outlineLevel="0" collapsed="false">
      <c r="A114" s="25" t="s">
        <v>143</v>
      </c>
    </row>
    <row r="115" customFormat="false" ht="12.8" hidden="false" customHeight="false" outlineLevel="0" collapsed="false">
      <c r="A115" s="25" t="s">
        <v>144</v>
      </c>
    </row>
    <row r="116" customFormat="false" ht="12.8" hidden="false" customHeight="false" outlineLevel="0" collapsed="false">
      <c r="A116" s="25" t="s">
        <v>145</v>
      </c>
    </row>
    <row r="117" customFormat="false" ht="12.8" hidden="false" customHeight="false" outlineLevel="0" collapsed="false">
      <c r="A117" s="25" t="s">
        <v>146</v>
      </c>
    </row>
    <row r="118" customFormat="false" ht="12.8" hidden="false" customHeight="false" outlineLevel="0" collapsed="false">
      <c r="A118" s="25" t="s">
        <v>147</v>
      </c>
    </row>
    <row r="119" customFormat="false" ht="12.8" hidden="false" customHeight="false" outlineLevel="0" collapsed="false">
      <c r="A119" s="25" t="s">
        <v>148</v>
      </c>
    </row>
    <row r="120" customFormat="false" ht="12.8" hidden="false" customHeight="false" outlineLevel="0" collapsed="false">
      <c r="A120" s="25" t="s">
        <v>149</v>
      </c>
    </row>
    <row r="121" customFormat="false" ht="12.8" hidden="false" customHeight="false" outlineLevel="0" collapsed="false">
      <c r="A121" s="25" t="s">
        <v>150</v>
      </c>
    </row>
    <row r="122" customFormat="false" ht="12.8" hidden="false" customHeight="false" outlineLevel="0" collapsed="false">
      <c r="A122" s="25" t="s">
        <v>151</v>
      </c>
    </row>
    <row r="123" customFormat="false" ht="12.8" hidden="false" customHeight="false" outlineLevel="0" collapsed="false">
      <c r="A123" s="25" t="s">
        <v>152</v>
      </c>
    </row>
    <row r="124" customFormat="false" ht="12.8" hidden="false" customHeight="false" outlineLevel="0" collapsed="false">
      <c r="A124" s="25" t="s">
        <v>153</v>
      </c>
    </row>
    <row r="125" customFormat="false" ht="12.8" hidden="false" customHeight="false" outlineLevel="0" collapsed="false">
      <c r="A125" s="25" t="s">
        <v>154</v>
      </c>
    </row>
    <row r="126" customFormat="false" ht="12.8" hidden="false" customHeight="false" outlineLevel="0" collapsed="false">
      <c r="A126" s="25" t="s">
        <v>155</v>
      </c>
    </row>
    <row r="127" customFormat="false" ht="12.8" hidden="false" customHeight="false" outlineLevel="0" collapsed="false">
      <c r="A127" s="25" t="s">
        <v>156</v>
      </c>
    </row>
    <row r="128" customFormat="false" ht="12.8" hidden="false" customHeight="false" outlineLevel="0" collapsed="false">
      <c r="A128" s="25" t="s">
        <v>157</v>
      </c>
    </row>
    <row r="129" customFormat="false" ht="12.8" hidden="false" customHeight="false" outlineLevel="0" collapsed="false">
      <c r="A129" s="25" t="s">
        <v>158</v>
      </c>
    </row>
    <row r="130" customFormat="false" ht="12.8" hidden="false" customHeight="false" outlineLevel="0" collapsed="false">
      <c r="A130" s="25" t="s">
        <v>159</v>
      </c>
    </row>
    <row r="131" customFormat="false" ht="12.8" hidden="false" customHeight="false" outlineLevel="0" collapsed="false">
      <c r="A131" s="25" t="s">
        <v>160</v>
      </c>
    </row>
    <row r="132" customFormat="false" ht="12.8" hidden="false" customHeight="false" outlineLevel="0" collapsed="false">
      <c r="A132" s="25" t="s">
        <v>161</v>
      </c>
    </row>
    <row r="133" customFormat="false" ht="12.8" hidden="false" customHeight="false" outlineLevel="0" collapsed="false">
      <c r="A133" s="25" t="s">
        <v>162</v>
      </c>
    </row>
    <row r="134" customFormat="false" ht="12.8" hidden="false" customHeight="false" outlineLevel="0" collapsed="false">
      <c r="A134" s="25" t="s">
        <v>163</v>
      </c>
    </row>
    <row r="135" customFormat="false" ht="12.8" hidden="false" customHeight="false" outlineLevel="0" collapsed="false">
      <c r="A135" s="25" t="s">
        <v>164</v>
      </c>
    </row>
    <row r="136" customFormat="false" ht="12.8" hidden="false" customHeight="false" outlineLevel="0" collapsed="false">
      <c r="A136" s="25" t="s">
        <v>165</v>
      </c>
    </row>
    <row r="137" customFormat="false" ht="12.8" hidden="false" customHeight="false" outlineLevel="0" collapsed="false">
      <c r="A137" s="25" t="s">
        <v>166</v>
      </c>
    </row>
    <row r="138" customFormat="false" ht="12.8" hidden="false" customHeight="false" outlineLevel="0" collapsed="false">
      <c r="A138" s="25" t="s">
        <v>167</v>
      </c>
    </row>
    <row r="139" customFormat="false" ht="12.8" hidden="false" customHeight="false" outlineLevel="0" collapsed="false">
      <c r="A139" s="25" t="s">
        <v>168</v>
      </c>
    </row>
    <row r="140" customFormat="false" ht="12.8" hidden="false" customHeight="false" outlineLevel="0" collapsed="false">
      <c r="A140" s="25" t="s">
        <v>169</v>
      </c>
    </row>
    <row r="141" customFormat="false" ht="12.8" hidden="false" customHeight="false" outlineLevel="0" collapsed="false">
      <c r="A141" s="25" t="s">
        <v>170</v>
      </c>
    </row>
    <row r="142" customFormat="false" ht="12.8" hidden="false" customHeight="false" outlineLevel="0" collapsed="false">
      <c r="A142" s="25" t="s">
        <v>171</v>
      </c>
    </row>
    <row r="143" customFormat="false" ht="12.8" hidden="false" customHeight="false" outlineLevel="0" collapsed="false">
      <c r="A143" s="25" t="s">
        <v>172</v>
      </c>
    </row>
    <row r="144" customFormat="false" ht="12.8" hidden="false" customHeight="false" outlineLevel="0" collapsed="false">
      <c r="A144" s="25" t="s">
        <v>173</v>
      </c>
    </row>
    <row r="145" customFormat="false" ht="12.8" hidden="false" customHeight="false" outlineLevel="0" collapsed="false">
      <c r="A145" s="25" t="s">
        <v>174</v>
      </c>
    </row>
    <row r="146" customFormat="false" ht="12.8" hidden="false" customHeight="false" outlineLevel="0" collapsed="false">
      <c r="A146" s="25" t="s">
        <v>175</v>
      </c>
    </row>
    <row r="147" customFormat="false" ht="12.8" hidden="false" customHeight="false" outlineLevel="0" collapsed="false">
      <c r="A147" s="25" t="s">
        <v>176</v>
      </c>
    </row>
    <row r="148" customFormat="false" ht="12.8" hidden="false" customHeight="false" outlineLevel="0" collapsed="false">
      <c r="A148" s="25" t="s">
        <v>177</v>
      </c>
    </row>
    <row r="149" customFormat="false" ht="12.8" hidden="false" customHeight="false" outlineLevel="0" collapsed="false">
      <c r="A149" s="25" t="s">
        <v>178</v>
      </c>
    </row>
    <row r="150" customFormat="false" ht="12.8" hidden="false" customHeight="false" outlineLevel="0" collapsed="false">
      <c r="A150" s="25" t="s">
        <v>179</v>
      </c>
    </row>
    <row r="151" customFormat="false" ht="12.8" hidden="false" customHeight="false" outlineLevel="0" collapsed="false">
      <c r="A151" s="25" t="s">
        <v>180</v>
      </c>
    </row>
    <row r="152" customFormat="false" ht="12.8" hidden="false" customHeight="false" outlineLevel="0" collapsed="false">
      <c r="A152" s="25" t="s">
        <v>181</v>
      </c>
    </row>
    <row r="153" customFormat="false" ht="12.8" hidden="false" customHeight="false" outlineLevel="0" collapsed="false">
      <c r="A153" s="25" t="s">
        <v>182</v>
      </c>
    </row>
    <row r="154" customFormat="false" ht="12.8" hidden="false" customHeight="false" outlineLevel="0" collapsed="false">
      <c r="A154" s="25" t="s">
        <v>183</v>
      </c>
    </row>
    <row r="155" customFormat="false" ht="23.85" hidden="false" customHeight="false" outlineLevel="0" collapsed="false">
      <c r="A155" s="25" t="s">
        <v>184</v>
      </c>
    </row>
    <row r="156" customFormat="false" ht="12.8" hidden="false" customHeight="false" outlineLevel="0" collapsed="false">
      <c r="A156" s="25" t="s">
        <v>185</v>
      </c>
    </row>
    <row r="157" customFormat="false" ht="12.8" hidden="false" customHeight="false" outlineLevel="0" collapsed="false">
      <c r="A157" s="25" t="s">
        <v>186</v>
      </c>
    </row>
    <row r="158" customFormat="false" ht="23.85" hidden="false" customHeight="false" outlineLevel="0" collapsed="false">
      <c r="A158" s="25" t="s">
        <v>187</v>
      </c>
    </row>
    <row r="159" customFormat="false" ht="12.8" hidden="false" customHeight="false" outlineLevel="0" collapsed="false">
      <c r="A159" s="25" t="s">
        <v>188</v>
      </c>
    </row>
    <row r="160" customFormat="false" ht="12.8" hidden="false" customHeight="false" outlineLevel="0" collapsed="false">
      <c r="A160" s="25" t="s">
        <v>189</v>
      </c>
    </row>
    <row r="161" customFormat="false" ht="12.8" hidden="false" customHeight="false" outlineLevel="0" collapsed="false">
      <c r="A161" s="25" t="s">
        <v>190</v>
      </c>
    </row>
    <row r="162" customFormat="false" ht="12.8" hidden="false" customHeight="false" outlineLevel="0" collapsed="false">
      <c r="A162" s="25" t="s">
        <v>191</v>
      </c>
    </row>
    <row r="163" customFormat="false" ht="12.8" hidden="false" customHeight="false" outlineLevel="0" collapsed="false">
      <c r="A163" s="25" t="s">
        <v>192</v>
      </c>
    </row>
    <row r="164" customFormat="false" ht="12.8" hidden="false" customHeight="false" outlineLevel="0" collapsed="false">
      <c r="A164" s="25" t="s">
        <v>193</v>
      </c>
    </row>
    <row r="165" customFormat="false" ht="23.85" hidden="false" customHeight="false" outlineLevel="0" collapsed="false">
      <c r="A165" s="25" t="s">
        <v>194</v>
      </c>
    </row>
    <row r="166" customFormat="false" ht="23.85" hidden="false" customHeight="false" outlineLevel="0" collapsed="false">
      <c r="A166" s="25" t="s">
        <v>195</v>
      </c>
    </row>
    <row r="167" customFormat="false" ht="35.05" hidden="false" customHeight="false" outlineLevel="0" collapsed="false">
      <c r="A167" s="25" t="s">
        <v>196</v>
      </c>
    </row>
    <row r="168" customFormat="false" ht="23.85" hidden="false" customHeight="false" outlineLevel="0" collapsed="false">
      <c r="A168" s="25" t="s">
        <v>197</v>
      </c>
    </row>
    <row r="169" customFormat="false" ht="12.8" hidden="false" customHeight="false" outlineLevel="0" collapsed="false">
      <c r="A169" s="25" t="s">
        <v>198</v>
      </c>
    </row>
    <row r="170" customFormat="false" ht="12.8" hidden="false" customHeight="false" outlineLevel="0" collapsed="false">
      <c r="A170" s="25" t="s">
        <v>199</v>
      </c>
    </row>
    <row r="171" customFormat="false" ht="23.85" hidden="false" customHeight="false" outlineLevel="0" collapsed="false">
      <c r="A171" s="25" t="s">
        <v>200</v>
      </c>
    </row>
    <row r="172" customFormat="false" ht="12.8" hidden="false" customHeight="false" outlineLevel="0" collapsed="false">
      <c r="A172" s="25" t="s">
        <v>201</v>
      </c>
    </row>
    <row r="173" customFormat="false" ht="12.8" hidden="false" customHeight="false" outlineLevel="0" collapsed="false">
      <c r="A173" s="25" t="s">
        <v>202</v>
      </c>
    </row>
    <row r="174" customFormat="false" ht="12.8" hidden="false" customHeight="false" outlineLevel="0" collapsed="false">
      <c r="A174" s="25" t="s">
        <v>203</v>
      </c>
    </row>
    <row r="175" customFormat="false" ht="12.8" hidden="false" customHeight="false" outlineLevel="0" collapsed="false">
      <c r="A175" s="25" t="s">
        <v>204</v>
      </c>
    </row>
    <row r="176" customFormat="false" ht="12.8" hidden="false" customHeight="false" outlineLevel="0" collapsed="false">
      <c r="A176" s="25" t="s">
        <v>205</v>
      </c>
    </row>
    <row r="177" customFormat="false" ht="23.85" hidden="false" customHeight="false" outlineLevel="0" collapsed="false">
      <c r="A177" s="25" t="s">
        <v>206</v>
      </c>
    </row>
    <row r="178" customFormat="false" ht="12.8" hidden="false" customHeight="false" outlineLevel="0" collapsed="false">
      <c r="A178" s="25" t="s">
        <v>207</v>
      </c>
    </row>
    <row r="179" customFormat="false" ht="12.8" hidden="false" customHeight="false" outlineLevel="0" collapsed="false">
      <c r="A179" s="25" t="s">
        <v>208</v>
      </c>
    </row>
    <row r="180" customFormat="false" ht="12.8" hidden="false" customHeight="false" outlineLevel="0" collapsed="false">
      <c r="A180" s="25" t="s">
        <v>209</v>
      </c>
    </row>
    <row r="181" customFormat="false" ht="12.8" hidden="false" customHeight="false" outlineLevel="0" collapsed="false">
      <c r="A181" s="25" t="s">
        <v>210</v>
      </c>
    </row>
    <row r="182" customFormat="false" ht="12.8" hidden="false" customHeight="false" outlineLevel="0" collapsed="false">
      <c r="A182" s="25" t="s">
        <v>211</v>
      </c>
    </row>
    <row r="183" customFormat="false" ht="35.05" hidden="false" customHeight="false" outlineLevel="0" collapsed="false">
      <c r="A183" s="25" t="s">
        <v>212</v>
      </c>
    </row>
    <row r="184" customFormat="false" ht="23.85" hidden="false" customHeight="false" outlineLevel="0" collapsed="false">
      <c r="A184" s="25" t="s">
        <v>213</v>
      </c>
    </row>
    <row r="185" customFormat="false" ht="23.85" hidden="false" customHeight="false" outlineLevel="0" collapsed="false">
      <c r="A185" s="25" t="s">
        <v>214</v>
      </c>
    </row>
    <row r="186" customFormat="false" ht="23.85" hidden="false" customHeight="false" outlineLevel="0" collapsed="false">
      <c r="A186" s="25" t="s">
        <v>215</v>
      </c>
    </row>
    <row r="187" customFormat="false" ht="23.85" hidden="false" customHeight="false" outlineLevel="0" collapsed="false">
      <c r="A187" s="25" t="s">
        <v>216</v>
      </c>
    </row>
    <row r="188" customFormat="false" ht="12.8" hidden="false" customHeight="false" outlineLevel="0" collapsed="false">
      <c r="A188" s="25" t="s">
        <v>217</v>
      </c>
    </row>
    <row r="189" customFormat="false" ht="12.8" hidden="false" customHeight="false" outlineLevel="0" collapsed="false">
      <c r="A189" s="25" t="s">
        <v>218</v>
      </c>
    </row>
    <row r="190" customFormat="false" ht="35.05" hidden="false" customHeight="false" outlineLevel="0" collapsed="false">
      <c r="A190" s="25" t="s">
        <v>219</v>
      </c>
    </row>
    <row r="191" customFormat="false" ht="12.8" hidden="false" customHeight="false" outlineLevel="0" collapsed="false">
      <c r="A191" s="25" t="s">
        <v>220</v>
      </c>
    </row>
    <row r="192" customFormat="false" ht="12.8" hidden="false" customHeight="false" outlineLevel="0" collapsed="false">
      <c r="A192" s="25" t="s">
        <v>221</v>
      </c>
    </row>
    <row r="193" customFormat="false" ht="12.8" hidden="false" customHeight="false" outlineLevel="0" collapsed="false">
      <c r="A193" s="25" t="s">
        <v>222</v>
      </c>
    </row>
    <row r="194" customFormat="false" ht="12.8" hidden="false" customHeight="false" outlineLevel="0" collapsed="false">
      <c r="A194" s="25" t="s">
        <v>223</v>
      </c>
    </row>
    <row r="195" customFormat="false" ht="12.8" hidden="false" customHeight="false" outlineLevel="0" collapsed="false">
      <c r="A195" s="25" t="s">
        <v>224</v>
      </c>
    </row>
    <row r="196" customFormat="false" ht="12.8" hidden="false" customHeight="false" outlineLevel="0" collapsed="false">
      <c r="A196" s="25" t="s">
        <v>225</v>
      </c>
    </row>
    <row r="197" customFormat="false" ht="12.8" hidden="false" customHeight="false" outlineLevel="0" collapsed="false">
      <c r="A197" s="25" t="s">
        <v>226</v>
      </c>
    </row>
    <row r="198" customFormat="false" ht="12.8" hidden="false" customHeight="false" outlineLevel="0" collapsed="false">
      <c r="A198" s="25" t="s">
        <v>227</v>
      </c>
    </row>
    <row r="199" customFormat="false" ht="12.8" hidden="false" customHeight="false" outlineLevel="0" collapsed="false">
      <c r="A199" s="25" t="s">
        <v>228</v>
      </c>
    </row>
    <row r="200" customFormat="false" ht="23.85" hidden="false" customHeight="false" outlineLevel="0" collapsed="false">
      <c r="A200" s="25" t="s">
        <v>229</v>
      </c>
    </row>
    <row r="201" customFormat="false" ht="23.85" hidden="false" customHeight="false" outlineLevel="0" collapsed="false">
      <c r="A201" s="25" t="s">
        <v>230</v>
      </c>
    </row>
    <row r="202" customFormat="false" ht="12.8" hidden="false" customHeight="false" outlineLevel="0" collapsed="false">
      <c r="A202" s="25" t="s">
        <v>231</v>
      </c>
    </row>
    <row r="203" customFormat="false" ht="12.8" hidden="false" customHeight="false" outlineLevel="0" collapsed="false">
      <c r="A203" s="25" t="s">
        <v>232</v>
      </c>
    </row>
    <row r="204" customFormat="false" ht="12.8" hidden="false" customHeight="false" outlineLevel="0" collapsed="false">
      <c r="A204" s="25" t="s">
        <v>233</v>
      </c>
    </row>
    <row r="205" customFormat="false" ht="12.8" hidden="false" customHeight="false" outlineLevel="0" collapsed="false">
      <c r="A205" s="25" t="s">
        <v>234</v>
      </c>
    </row>
    <row r="206" customFormat="false" ht="23.85" hidden="false" customHeight="false" outlineLevel="0" collapsed="false">
      <c r="A206" s="25" t="s">
        <v>235</v>
      </c>
    </row>
    <row r="207" customFormat="false" ht="12.8" hidden="false" customHeight="false" outlineLevel="0" collapsed="false">
      <c r="A207" s="25" t="s">
        <v>236</v>
      </c>
    </row>
    <row r="208" customFormat="false" ht="12.8" hidden="false" customHeight="false" outlineLevel="0" collapsed="false">
      <c r="A208" s="25" t="s">
        <v>237</v>
      </c>
    </row>
    <row r="209" customFormat="false" ht="23.85" hidden="false" customHeight="false" outlineLevel="0" collapsed="false">
      <c r="A209" s="25" t="s">
        <v>238</v>
      </c>
    </row>
    <row r="210" customFormat="false" ht="12.8" hidden="false" customHeight="false" outlineLevel="0" collapsed="false">
      <c r="A210" s="25" t="s">
        <v>239</v>
      </c>
    </row>
    <row r="211" customFormat="false" ht="23.85" hidden="false" customHeight="false" outlineLevel="0" collapsed="false">
      <c r="A211" s="25" t="s">
        <v>240</v>
      </c>
    </row>
    <row r="212" customFormat="false" ht="23.85" hidden="false" customHeight="false" outlineLevel="0" collapsed="false">
      <c r="A212" s="25" t="s">
        <v>241</v>
      </c>
    </row>
    <row r="213" customFormat="false" ht="23.85" hidden="false" customHeight="false" outlineLevel="0" collapsed="false">
      <c r="A213" s="25" t="s">
        <v>242</v>
      </c>
    </row>
    <row r="214" customFormat="false" ht="23.85" hidden="false" customHeight="false" outlineLevel="0" collapsed="false">
      <c r="A214" s="25" t="s">
        <v>29</v>
      </c>
    </row>
    <row r="215" customFormat="false" ht="23.85" hidden="false" customHeight="false" outlineLevel="0" collapsed="false">
      <c r="A215" s="25" t="s">
        <v>243</v>
      </c>
    </row>
    <row r="216" customFormat="false" ht="23.85" hidden="false" customHeight="false" outlineLevel="0" collapsed="false">
      <c r="A216" s="25" t="s">
        <v>244</v>
      </c>
    </row>
    <row r="217" customFormat="false" ht="23.85" hidden="false" customHeight="false" outlineLevel="0" collapsed="false">
      <c r="A217" s="25" t="s">
        <v>245</v>
      </c>
    </row>
    <row r="218" customFormat="false" ht="35.05" hidden="false" customHeight="false" outlineLevel="0" collapsed="false">
      <c r="A218" s="25" t="s">
        <v>246</v>
      </c>
    </row>
    <row r="219" customFormat="false" ht="12.8" hidden="false" customHeight="false" outlineLevel="0" collapsed="false">
      <c r="A219" s="25" t="s">
        <v>247</v>
      </c>
    </row>
    <row r="220" customFormat="false" ht="35.05" hidden="false" customHeight="false" outlineLevel="0" collapsed="false">
      <c r="A220" s="25" t="s">
        <v>248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Roman,Normal"&amp;12Sida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1" activeCellId="0" sqref="C111"/>
    </sheetView>
  </sheetViews>
  <sheetFormatPr defaultColWidth="11.53515625" defaultRowHeight="14.65" customHeight="true" zeroHeight="false" outlineLevelRow="0" outlineLevelCol="0"/>
  <cols>
    <col collapsed="false" customWidth="true" hidden="false" outlineLevel="0" max="1" min="1" style="0" width="37.19"/>
    <col collapsed="false" customWidth="true" hidden="false" outlineLevel="0" max="2" min="2" style="0" width="7.27"/>
    <col collapsed="false" customWidth="true" hidden="false" outlineLevel="0" max="3" min="3" style="0" width="21.69"/>
  </cols>
  <sheetData>
    <row r="1" customFormat="false" ht="14.65" hidden="false" customHeight="false" outlineLevel="0" collapsed="false">
      <c r="A1" s="26" t="s">
        <v>249</v>
      </c>
      <c r="B1" s="26" t="s">
        <v>250</v>
      </c>
      <c r="C1" s="26" t="s">
        <v>251</v>
      </c>
    </row>
    <row r="2" customFormat="false" ht="14.65" hidden="false" customHeight="false" outlineLevel="0" collapsed="false">
      <c r="A2" s="0" t="s">
        <v>252</v>
      </c>
      <c r="B2" s="0" t="s">
        <v>253</v>
      </c>
      <c r="C2" s="0" t="s">
        <v>254</v>
      </c>
    </row>
    <row r="3" customFormat="false" ht="14.65" hidden="false" customHeight="false" outlineLevel="0" collapsed="false">
      <c r="A3" s="0" t="s">
        <v>255</v>
      </c>
      <c r="B3" s="0" t="s">
        <v>256</v>
      </c>
      <c r="C3" s="0" t="s">
        <v>254</v>
      </c>
    </row>
    <row r="4" customFormat="false" ht="14.65" hidden="false" customHeight="false" outlineLevel="0" collapsed="false">
      <c r="A4" s="0" t="s">
        <v>257</v>
      </c>
      <c r="B4" s="0" t="s">
        <v>258</v>
      </c>
      <c r="C4" s="0" t="s">
        <v>254</v>
      </c>
    </row>
    <row r="5" customFormat="false" ht="14.65" hidden="false" customHeight="false" outlineLevel="0" collapsed="false">
      <c r="A5" s="0" t="s">
        <v>259</v>
      </c>
      <c r="B5" s="0" t="s">
        <v>260</v>
      </c>
      <c r="C5" s="0" t="s">
        <v>254</v>
      </c>
    </row>
    <row r="6" customFormat="false" ht="14.65" hidden="false" customHeight="false" outlineLevel="0" collapsed="false">
      <c r="A6" s="0" t="s">
        <v>261</v>
      </c>
      <c r="B6" s="0" t="s">
        <v>262</v>
      </c>
      <c r="C6" s="0" t="s">
        <v>254</v>
      </c>
    </row>
    <row r="7" customFormat="false" ht="14.65" hidden="false" customHeight="false" outlineLevel="0" collapsed="false">
      <c r="A7" s="0" t="s">
        <v>263</v>
      </c>
      <c r="B7" s="0" t="s">
        <v>264</v>
      </c>
      <c r="C7" s="0" t="s">
        <v>254</v>
      </c>
    </row>
    <row r="8" customFormat="false" ht="14.65" hidden="false" customHeight="false" outlineLevel="0" collapsed="false">
      <c r="A8" s="0" t="s">
        <v>265</v>
      </c>
      <c r="B8" s="0" t="s">
        <v>266</v>
      </c>
      <c r="C8" s="0" t="s">
        <v>254</v>
      </c>
    </row>
    <row r="9" customFormat="false" ht="14.65" hidden="false" customHeight="false" outlineLevel="0" collapsed="false">
      <c r="A9" s="0" t="s">
        <v>267</v>
      </c>
      <c r="B9" s="0" t="s">
        <v>268</v>
      </c>
      <c r="C9" s="0" t="s">
        <v>254</v>
      </c>
    </row>
    <row r="10" customFormat="false" ht="14.65" hidden="false" customHeight="false" outlineLevel="0" collapsed="false">
      <c r="A10" s="0" t="s">
        <v>224</v>
      </c>
      <c r="B10" s="0" t="s">
        <v>269</v>
      </c>
      <c r="C10" s="0" t="s">
        <v>270</v>
      </c>
    </row>
    <row r="11" customFormat="false" ht="14.65" hidden="false" customHeight="false" outlineLevel="0" collapsed="false">
      <c r="A11" s="0" t="s">
        <v>271</v>
      </c>
      <c r="B11" s="0" t="s">
        <v>272</v>
      </c>
      <c r="C11" s="0" t="s">
        <v>270</v>
      </c>
    </row>
    <row r="12" customFormat="false" ht="14.65" hidden="false" customHeight="false" outlineLevel="0" collapsed="false">
      <c r="A12" s="0" t="s">
        <v>223</v>
      </c>
      <c r="B12" s="0" t="s">
        <v>273</v>
      </c>
      <c r="C12" s="0" t="s">
        <v>270</v>
      </c>
    </row>
    <row r="13" customFormat="false" ht="14.65" hidden="false" customHeight="false" outlineLevel="0" collapsed="false">
      <c r="A13" s="0" t="s">
        <v>274</v>
      </c>
      <c r="B13" s="0" t="s">
        <v>275</v>
      </c>
      <c r="C13" s="0" t="s">
        <v>276</v>
      </c>
    </row>
    <row r="14" customFormat="false" ht="14.65" hidden="false" customHeight="false" outlineLevel="0" collapsed="false">
      <c r="A14" s="0" t="s">
        <v>277</v>
      </c>
      <c r="B14" s="0" t="s">
        <v>278</v>
      </c>
      <c r="C14" s="0" t="s">
        <v>270</v>
      </c>
    </row>
    <row r="15" customFormat="false" ht="14.65" hidden="false" customHeight="false" outlineLevel="0" collapsed="false">
      <c r="A15" s="0" t="s">
        <v>279</v>
      </c>
      <c r="B15" s="0" t="s">
        <v>280</v>
      </c>
      <c r="C15" s="0" t="s">
        <v>270</v>
      </c>
    </row>
    <row r="16" customFormat="false" ht="14.65" hidden="false" customHeight="false" outlineLevel="0" collapsed="false">
      <c r="A16" s="0" t="s">
        <v>281</v>
      </c>
      <c r="B16" s="0" t="s">
        <v>282</v>
      </c>
      <c r="C16" s="0" t="s">
        <v>270</v>
      </c>
    </row>
    <row r="17" customFormat="false" ht="14.65" hidden="false" customHeight="false" outlineLevel="0" collapsed="false">
      <c r="A17" s="0" t="s">
        <v>227</v>
      </c>
      <c r="B17" s="0" t="s">
        <v>283</v>
      </c>
      <c r="C17" s="0" t="s">
        <v>270</v>
      </c>
    </row>
    <row r="18" customFormat="false" ht="14.65" hidden="false" customHeight="false" outlineLevel="0" collapsed="false">
      <c r="A18" s="0" t="s">
        <v>228</v>
      </c>
      <c r="B18" s="0" t="s">
        <v>284</v>
      </c>
      <c r="C18" s="0" t="s">
        <v>270</v>
      </c>
    </row>
    <row r="19" customFormat="false" ht="14.65" hidden="false" customHeight="false" outlineLevel="0" collapsed="false">
      <c r="A19" s="0" t="s">
        <v>285</v>
      </c>
      <c r="B19" s="0" t="s">
        <v>286</v>
      </c>
      <c r="C19" s="0" t="s">
        <v>287</v>
      </c>
    </row>
    <row r="20" customFormat="false" ht="14.65" hidden="false" customHeight="false" outlineLevel="0" collapsed="false">
      <c r="A20" s="0" t="s">
        <v>288</v>
      </c>
      <c r="B20" s="0" t="s">
        <v>289</v>
      </c>
      <c r="C20" s="0" t="s">
        <v>290</v>
      </c>
    </row>
    <row r="21" customFormat="false" ht="14.65" hidden="false" customHeight="false" outlineLevel="0" collapsed="false">
      <c r="A21" s="0" t="s">
        <v>291</v>
      </c>
      <c r="B21" s="0" t="s">
        <v>292</v>
      </c>
      <c r="C21" s="0" t="s">
        <v>290</v>
      </c>
    </row>
    <row r="22" customFormat="false" ht="14.65" hidden="false" customHeight="false" outlineLevel="0" collapsed="false">
      <c r="A22" s="0" t="s">
        <v>293</v>
      </c>
      <c r="B22" s="0" t="s">
        <v>294</v>
      </c>
      <c r="C22" s="0" t="s">
        <v>290</v>
      </c>
    </row>
    <row r="23" customFormat="false" ht="14.65" hidden="false" customHeight="false" outlineLevel="0" collapsed="false">
      <c r="A23" s="0" t="s">
        <v>295</v>
      </c>
      <c r="B23" s="0" t="s">
        <v>296</v>
      </c>
      <c r="C23" s="0" t="s">
        <v>290</v>
      </c>
    </row>
    <row r="24" customFormat="false" ht="14.65" hidden="false" customHeight="false" outlineLevel="0" collapsed="false">
      <c r="A24" s="0" t="s">
        <v>297</v>
      </c>
      <c r="B24" s="0" t="s">
        <v>298</v>
      </c>
      <c r="C24" s="0" t="s">
        <v>290</v>
      </c>
    </row>
    <row r="25" customFormat="false" ht="14.65" hidden="false" customHeight="false" outlineLevel="0" collapsed="false">
      <c r="A25" s="0" t="s">
        <v>299</v>
      </c>
      <c r="B25" s="0" t="s">
        <v>300</v>
      </c>
      <c r="C25" s="0" t="s">
        <v>270</v>
      </c>
    </row>
    <row r="26" customFormat="false" ht="14.65" hidden="false" customHeight="false" outlineLevel="0" collapsed="false">
      <c r="A26" s="0" t="s">
        <v>301</v>
      </c>
      <c r="B26" s="0" t="s">
        <v>302</v>
      </c>
      <c r="C26" s="0" t="s">
        <v>290</v>
      </c>
    </row>
    <row r="27" customFormat="false" ht="14.65" hidden="false" customHeight="false" outlineLevel="0" collapsed="false">
      <c r="A27" s="0" t="s">
        <v>303</v>
      </c>
      <c r="B27" s="0" t="s">
        <v>304</v>
      </c>
      <c r="C27" s="0" t="s">
        <v>290</v>
      </c>
    </row>
    <row r="28" customFormat="false" ht="14.65" hidden="false" customHeight="false" outlineLevel="0" collapsed="false">
      <c r="A28" s="0" t="s">
        <v>305</v>
      </c>
      <c r="B28" s="0" t="s">
        <v>306</v>
      </c>
      <c r="C28" s="0" t="s">
        <v>290</v>
      </c>
    </row>
    <row r="29" customFormat="false" ht="14.65" hidden="false" customHeight="false" outlineLevel="0" collapsed="false">
      <c r="A29" s="0" t="s">
        <v>307</v>
      </c>
      <c r="B29" s="0" t="s">
        <v>308</v>
      </c>
      <c r="C29" s="0" t="s">
        <v>290</v>
      </c>
    </row>
    <row r="30" customFormat="false" ht="14.65" hidden="false" customHeight="false" outlineLevel="0" collapsed="false">
      <c r="A30" s="0" t="s">
        <v>309</v>
      </c>
      <c r="B30" s="0" t="s">
        <v>310</v>
      </c>
      <c r="C30" s="0" t="s">
        <v>287</v>
      </c>
    </row>
    <row r="31" customFormat="false" ht="14.65" hidden="false" customHeight="false" outlineLevel="0" collapsed="false">
      <c r="A31" s="0" t="s">
        <v>311</v>
      </c>
      <c r="B31" s="0" t="s">
        <v>312</v>
      </c>
      <c r="C31" s="0" t="s">
        <v>287</v>
      </c>
    </row>
    <row r="32" customFormat="false" ht="14.65" hidden="false" customHeight="false" outlineLevel="0" collapsed="false">
      <c r="A32" s="0" t="s">
        <v>313</v>
      </c>
      <c r="B32" s="0" t="s">
        <v>314</v>
      </c>
      <c r="C32" s="0" t="s">
        <v>287</v>
      </c>
    </row>
    <row r="33" customFormat="false" ht="14.65" hidden="false" customHeight="false" outlineLevel="0" collapsed="false">
      <c r="A33" s="0" t="s">
        <v>315</v>
      </c>
      <c r="B33" s="0" t="s">
        <v>316</v>
      </c>
      <c r="C33" s="0" t="s">
        <v>270</v>
      </c>
    </row>
    <row r="34" customFormat="false" ht="14.65" hidden="false" customHeight="false" outlineLevel="0" collapsed="false">
      <c r="A34" s="0" t="s">
        <v>317</v>
      </c>
      <c r="B34" s="0" t="s">
        <v>318</v>
      </c>
      <c r="C34" s="0" t="s">
        <v>270</v>
      </c>
    </row>
    <row r="35" customFormat="false" ht="14.65" hidden="false" customHeight="false" outlineLevel="0" collapsed="false">
      <c r="A35" s="0" t="s">
        <v>319</v>
      </c>
      <c r="B35" s="0" t="s">
        <v>320</v>
      </c>
      <c r="C35" s="0" t="s">
        <v>270</v>
      </c>
    </row>
    <row r="36" customFormat="false" ht="14.65" hidden="false" customHeight="false" outlineLevel="0" collapsed="false">
      <c r="A36" s="0" t="s">
        <v>321</v>
      </c>
      <c r="B36" s="0" t="s">
        <v>322</v>
      </c>
      <c r="C36" s="0" t="s">
        <v>290</v>
      </c>
    </row>
    <row r="37" customFormat="false" ht="14.65" hidden="false" customHeight="false" outlineLevel="0" collapsed="false">
      <c r="A37" s="0" t="s">
        <v>323</v>
      </c>
      <c r="B37" s="0" t="s">
        <v>324</v>
      </c>
      <c r="C37" s="0" t="s">
        <v>287</v>
      </c>
    </row>
    <row r="38" customFormat="false" ht="14.65" hidden="false" customHeight="false" outlineLevel="0" collapsed="false">
      <c r="A38" s="0" t="s">
        <v>325</v>
      </c>
      <c r="B38" s="0" t="s">
        <v>326</v>
      </c>
      <c r="C38" s="0" t="s">
        <v>287</v>
      </c>
    </row>
    <row r="39" customFormat="false" ht="14.65" hidden="false" customHeight="false" outlineLevel="0" collapsed="false">
      <c r="A39" s="0" t="s">
        <v>327</v>
      </c>
      <c r="B39" s="0" t="s">
        <v>328</v>
      </c>
      <c r="C39" s="0" t="s">
        <v>287</v>
      </c>
    </row>
    <row r="40" customFormat="false" ht="14.65" hidden="false" customHeight="false" outlineLevel="0" collapsed="false">
      <c r="A40" s="0" t="s">
        <v>329</v>
      </c>
      <c r="B40" s="0" t="s">
        <v>330</v>
      </c>
      <c r="C40" s="0" t="s">
        <v>287</v>
      </c>
    </row>
    <row r="41" customFormat="false" ht="14.65" hidden="false" customHeight="false" outlineLevel="0" collapsed="false">
      <c r="A41" s="0" t="s">
        <v>37</v>
      </c>
      <c r="B41" s="0" t="s">
        <v>331</v>
      </c>
      <c r="C41" s="0" t="s">
        <v>290</v>
      </c>
    </row>
    <row r="42" customFormat="false" ht="14.65" hidden="false" customHeight="false" outlineLevel="0" collapsed="false">
      <c r="A42" s="0" t="s">
        <v>332</v>
      </c>
      <c r="B42" s="0" t="s">
        <v>333</v>
      </c>
      <c r="C42" s="0" t="s">
        <v>287</v>
      </c>
    </row>
    <row r="43" customFormat="false" ht="14.65" hidden="false" customHeight="false" outlineLevel="0" collapsed="false">
      <c r="A43" s="0" t="s">
        <v>247</v>
      </c>
      <c r="B43" s="0" t="s">
        <v>334</v>
      </c>
      <c r="C43" s="0" t="s">
        <v>287</v>
      </c>
    </row>
    <row r="44" customFormat="false" ht="14.65" hidden="false" customHeight="false" outlineLevel="0" collapsed="false">
      <c r="A44" s="0" t="s">
        <v>335</v>
      </c>
      <c r="B44" s="0" t="s">
        <v>336</v>
      </c>
      <c r="C44" s="0" t="s">
        <v>290</v>
      </c>
    </row>
    <row r="45" customFormat="false" ht="14.65" hidden="false" customHeight="false" outlineLevel="0" collapsed="false">
      <c r="A45" s="0" t="s">
        <v>337</v>
      </c>
      <c r="B45" s="0" t="s">
        <v>338</v>
      </c>
      <c r="C45" s="0" t="s">
        <v>270</v>
      </c>
    </row>
    <row r="46" customFormat="false" ht="14.65" hidden="false" customHeight="false" outlineLevel="0" collapsed="false">
      <c r="A46" s="0" t="s">
        <v>339</v>
      </c>
      <c r="B46" s="0" t="s">
        <v>340</v>
      </c>
      <c r="C46" s="0" t="s">
        <v>270</v>
      </c>
    </row>
    <row r="47" customFormat="false" ht="14.65" hidden="false" customHeight="false" outlineLevel="0" collapsed="false">
      <c r="A47" s="0" t="s">
        <v>341</v>
      </c>
      <c r="B47" s="0" t="s">
        <v>342</v>
      </c>
      <c r="C47" s="0" t="s">
        <v>270</v>
      </c>
    </row>
    <row r="48" customFormat="false" ht="14.65" hidden="false" customHeight="false" outlineLevel="0" collapsed="false">
      <c r="A48" s="0" t="s">
        <v>343</v>
      </c>
      <c r="B48" s="0" t="s">
        <v>344</v>
      </c>
      <c r="C48" s="0" t="s">
        <v>270</v>
      </c>
    </row>
    <row r="49" customFormat="false" ht="14.65" hidden="false" customHeight="false" outlineLevel="0" collapsed="false">
      <c r="A49" s="0" t="s">
        <v>345</v>
      </c>
      <c r="B49" s="0" t="s">
        <v>346</v>
      </c>
      <c r="C49" s="0" t="s">
        <v>270</v>
      </c>
    </row>
    <row r="50" customFormat="false" ht="14.65" hidden="false" customHeight="false" outlineLevel="0" collapsed="false">
      <c r="A50" s="0" t="s">
        <v>347</v>
      </c>
      <c r="B50" s="0" t="s">
        <v>348</v>
      </c>
      <c r="C50" s="0" t="s">
        <v>270</v>
      </c>
    </row>
    <row r="51" customFormat="false" ht="14.65" hidden="false" customHeight="false" outlineLevel="0" collapsed="false">
      <c r="A51" s="0" t="s">
        <v>226</v>
      </c>
      <c r="B51" s="0" t="s">
        <v>349</v>
      </c>
      <c r="C51" s="0" t="s">
        <v>270</v>
      </c>
    </row>
    <row r="52" customFormat="false" ht="14.65" hidden="false" customHeight="false" outlineLevel="0" collapsed="false">
      <c r="A52" s="0" t="s">
        <v>221</v>
      </c>
      <c r="B52" s="0" t="s">
        <v>350</v>
      </c>
      <c r="C52" s="0" t="s">
        <v>270</v>
      </c>
    </row>
    <row r="53" customFormat="false" ht="14.65" hidden="false" customHeight="false" outlineLevel="0" collapsed="false">
      <c r="A53" s="0" t="s">
        <v>351</v>
      </c>
      <c r="B53" s="0" t="s">
        <v>352</v>
      </c>
      <c r="C53" s="0" t="s">
        <v>254</v>
      </c>
    </row>
    <row r="54" customFormat="false" ht="14.65" hidden="false" customHeight="false" outlineLevel="0" collapsed="false">
      <c r="A54" s="0" t="s">
        <v>353</v>
      </c>
      <c r="B54" s="0" t="s">
        <v>354</v>
      </c>
      <c r="C54" s="0" t="s">
        <v>355</v>
      </c>
    </row>
    <row r="55" customFormat="false" ht="14.65" hidden="false" customHeight="false" outlineLevel="0" collapsed="false">
      <c r="A55" s="0" t="s">
        <v>356</v>
      </c>
      <c r="B55" s="0" t="s">
        <v>357</v>
      </c>
      <c r="C55" s="0" t="s">
        <v>355</v>
      </c>
    </row>
    <row r="56" customFormat="false" ht="14.65" hidden="false" customHeight="false" outlineLevel="0" collapsed="false">
      <c r="A56" s="0" t="s">
        <v>358</v>
      </c>
      <c r="B56" s="0" t="s">
        <v>359</v>
      </c>
      <c r="C56" s="0" t="s">
        <v>355</v>
      </c>
    </row>
    <row r="57" customFormat="false" ht="14.65" hidden="false" customHeight="false" outlineLevel="0" collapsed="false">
      <c r="A57" s="0" t="s">
        <v>360</v>
      </c>
      <c r="B57" s="0" t="s">
        <v>361</v>
      </c>
      <c r="C57" s="0" t="s">
        <v>355</v>
      </c>
    </row>
    <row r="58" customFormat="false" ht="14.65" hidden="false" customHeight="false" outlineLevel="0" collapsed="false">
      <c r="A58" s="0" t="s">
        <v>203</v>
      </c>
      <c r="B58" s="0" t="s">
        <v>362</v>
      </c>
      <c r="C58" s="0" t="s">
        <v>363</v>
      </c>
    </row>
    <row r="59" customFormat="false" ht="14.65" hidden="false" customHeight="false" outlineLevel="0" collapsed="false">
      <c r="A59" s="0" t="s">
        <v>364</v>
      </c>
      <c r="B59" s="0" t="s">
        <v>365</v>
      </c>
      <c r="C59" s="0" t="s">
        <v>363</v>
      </c>
    </row>
    <row r="60" customFormat="false" ht="14.65" hidden="false" customHeight="false" outlineLevel="0" collapsed="false">
      <c r="A60" s="0" t="s">
        <v>24</v>
      </c>
      <c r="B60" s="0" t="s">
        <v>366</v>
      </c>
      <c r="C60" s="0" t="s">
        <v>363</v>
      </c>
    </row>
    <row r="61" customFormat="false" ht="14.65" hidden="false" customHeight="false" outlineLevel="0" collapsed="false">
      <c r="A61" s="0" t="s">
        <v>367</v>
      </c>
      <c r="B61" s="0" t="s">
        <v>368</v>
      </c>
      <c r="C61" s="0" t="s">
        <v>363</v>
      </c>
    </row>
    <row r="62" customFormat="false" ht="14.65" hidden="false" customHeight="false" outlineLevel="0" collapsed="false">
      <c r="A62" s="0" t="s">
        <v>202</v>
      </c>
      <c r="B62" s="0" t="s">
        <v>369</v>
      </c>
      <c r="C62" s="0" t="s">
        <v>363</v>
      </c>
    </row>
    <row r="63" customFormat="false" ht="14.65" hidden="false" customHeight="false" outlineLevel="0" collapsed="false">
      <c r="A63" s="0" t="s">
        <v>370</v>
      </c>
      <c r="B63" s="0" t="s">
        <v>371</v>
      </c>
      <c r="C63" s="0" t="s">
        <v>355</v>
      </c>
    </row>
    <row r="64" customFormat="false" ht="14.65" hidden="false" customHeight="false" outlineLevel="0" collapsed="false">
      <c r="A64" s="0" t="s">
        <v>372</v>
      </c>
      <c r="B64" s="0" t="s">
        <v>373</v>
      </c>
      <c r="C64" s="0" t="s">
        <v>355</v>
      </c>
    </row>
    <row r="65" customFormat="false" ht="14.65" hidden="false" customHeight="false" outlineLevel="0" collapsed="false">
      <c r="A65" s="0" t="s">
        <v>374</v>
      </c>
      <c r="B65" s="0" t="s">
        <v>375</v>
      </c>
      <c r="C65" s="0" t="s">
        <v>355</v>
      </c>
    </row>
    <row r="66" customFormat="false" ht="14.65" hidden="false" customHeight="false" outlineLevel="0" collapsed="false">
      <c r="A66" s="0" t="s">
        <v>376</v>
      </c>
      <c r="B66" s="0" t="s">
        <v>377</v>
      </c>
      <c r="C66" s="0" t="s">
        <v>287</v>
      </c>
    </row>
    <row r="67" customFormat="false" ht="14.65" hidden="false" customHeight="false" outlineLevel="0" collapsed="false">
      <c r="A67" s="0" t="s">
        <v>378</v>
      </c>
      <c r="B67" s="0" t="s">
        <v>379</v>
      </c>
      <c r="C67" s="0" t="s">
        <v>290</v>
      </c>
    </row>
    <row r="68" customFormat="false" ht="14.65" hidden="false" customHeight="false" outlineLevel="0" collapsed="false">
      <c r="A68" s="0" t="s">
        <v>380</v>
      </c>
      <c r="B68" s="0" t="s">
        <v>381</v>
      </c>
      <c r="C68" s="0" t="s">
        <v>270</v>
      </c>
    </row>
    <row r="69" customFormat="false" ht="14.65" hidden="false" customHeight="false" outlineLevel="0" collapsed="false">
      <c r="A69" s="0" t="s">
        <v>382</v>
      </c>
      <c r="B69" s="0" t="s">
        <v>383</v>
      </c>
      <c r="C69" s="0" t="s">
        <v>270</v>
      </c>
    </row>
    <row r="70" customFormat="false" ht="14.65" hidden="false" customHeight="false" outlineLevel="0" collapsed="false">
      <c r="A70" s="0" t="s">
        <v>384</v>
      </c>
      <c r="B70" s="0" t="s">
        <v>385</v>
      </c>
      <c r="C70" s="0" t="s">
        <v>290</v>
      </c>
    </row>
    <row r="71" customFormat="false" ht="14.65" hidden="false" customHeight="false" outlineLevel="0" collapsed="false">
      <c r="A71" s="0" t="s">
        <v>384</v>
      </c>
      <c r="B71" s="0" t="s">
        <v>386</v>
      </c>
      <c r="C71" s="0" t="s">
        <v>290</v>
      </c>
    </row>
    <row r="72" customFormat="false" ht="14.65" hidden="false" customHeight="false" outlineLevel="0" collapsed="false">
      <c r="A72" s="0" t="s">
        <v>307</v>
      </c>
      <c r="B72" s="0" t="s">
        <v>387</v>
      </c>
      <c r="C72" s="0" t="s">
        <v>290</v>
      </c>
    </row>
    <row r="73" customFormat="false" ht="14.65" hidden="false" customHeight="false" outlineLevel="0" collapsed="false">
      <c r="A73" s="0" t="s">
        <v>60</v>
      </c>
      <c r="B73" s="0" t="s">
        <v>388</v>
      </c>
      <c r="C73" s="0" t="s">
        <v>290</v>
      </c>
    </row>
    <row r="74" customFormat="false" ht="14.65" hidden="false" customHeight="false" outlineLevel="0" collapsed="false">
      <c r="A74" s="0" t="s">
        <v>389</v>
      </c>
      <c r="B74" s="0" t="s">
        <v>390</v>
      </c>
      <c r="C74" s="0" t="s">
        <v>287</v>
      </c>
    </row>
    <row r="75" customFormat="false" ht="14.65" hidden="false" customHeight="false" outlineLevel="0" collapsed="false">
      <c r="A75" s="0" t="s">
        <v>391</v>
      </c>
      <c r="B75" s="0" t="s">
        <v>392</v>
      </c>
      <c r="C75" s="0" t="s">
        <v>287</v>
      </c>
    </row>
    <row r="76" customFormat="false" ht="14.65" hidden="false" customHeight="false" outlineLevel="0" collapsed="false">
      <c r="A76" s="0" t="s">
        <v>393</v>
      </c>
      <c r="B76" s="0" t="s">
        <v>394</v>
      </c>
      <c r="C76" s="0" t="s">
        <v>287</v>
      </c>
    </row>
    <row r="77" customFormat="false" ht="14.65" hidden="false" customHeight="false" outlineLevel="0" collapsed="false">
      <c r="A77" s="0" t="s">
        <v>395</v>
      </c>
      <c r="B77" s="0" t="s">
        <v>396</v>
      </c>
      <c r="C77" s="0" t="s">
        <v>287</v>
      </c>
    </row>
    <row r="78" customFormat="false" ht="14.65" hidden="false" customHeight="false" outlineLevel="0" collapsed="false">
      <c r="A78" s="0" t="s">
        <v>49</v>
      </c>
      <c r="B78" s="0" t="s">
        <v>397</v>
      </c>
      <c r="C78" s="0" t="s">
        <v>290</v>
      </c>
    </row>
    <row r="79" customFormat="false" ht="14.65" hidden="false" customHeight="false" outlineLevel="0" collapsed="false">
      <c r="A79" s="0" t="s">
        <v>248</v>
      </c>
      <c r="B79" s="0" t="s">
        <v>398</v>
      </c>
      <c r="C79" s="0" t="s">
        <v>287</v>
      </c>
    </row>
    <row r="80" customFormat="false" ht="14.65" hidden="false" customHeight="false" outlineLevel="0" collapsed="false">
      <c r="A80" s="0" t="s">
        <v>399</v>
      </c>
      <c r="B80" s="0" t="s">
        <v>400</v>
      </c>
      <c r="C80" s="0" t="s">
        <v>287</v>
      </c>
    </row>
    <row r="81" customFormat="false" ht="14.65" hidden="false" customHeight="false" outlineLevel="0" collapsed="false">
      <c r="A81" s="0" t="s">
        <v>401</v>
      </c>
      <c r="B81" s="0" t="s">
        <v>402</v>
      </c>
      <c r="C81" s="0" t="s">
        <v>270</v>
      </c>
    </row>
    <row r="82" customFormat="false" ht="14.65" hidden="false" customHeight="false" outlineLevel="0" collapsed="false">
      <c r="A82" s="0" t="s">
        <v>403</v>
      </c>
      <c r="B82" s="0" t="s">
        <v>404</v>
      </c>
      <c r="C82" s="0" t="s">
        <v>290</v>
      </c>
    </row>
    <row r="83" customFormat="false" ht="14.65" hidden="false" customHeight="false" outlineLevel="0" collapsed="false">
      <c r="A83" s="0" t="s">
        <v>405</v>
      </c>
      <c r="B83" s="0" t="s">
        <v>406</v>
      </c>
      <c r="C83" s="0" t="s">
        <v>287</v>
      </c>
    </row>
    <row r="84" customFormat="false" ht="14.65" hidden="false" customHeight="false" outlineLevel="0" collapsed="false">
      <c r="A84" s="0" t="s">
        <v>307</v>
      </c>
      <c r="B84" s="0" t="s">
        <v>407</v>
      </c>
      <c r="C84" s="0" t="s">
        <v>290</v>
      </c>
    </row>
    <row r="85" customFormat="false" ht="14.65" hidden="false" customHeight="false" outlineLevel="0" collapsed="false">
      <c r="A85" s="0" t="s">
        <v>408</v>
      </c>
      <c r="B85" s="0" t="s">
        <v>409</v>
      </c>
      <c r="C85" s="0" t="s">
        <v>270</v>
      </c>
    </row>
    <row r="86" customFormat="false" ht="14.65" hidden="false" customHeight="false" outlineLevel="0" collapsed="false">
      <c r="A86" s="0" t="s">
        <v>410</v>
      </c>
      <c r="B86" s="0" t="s">
        <v>411</v>
      </c>
      <c r="C86" s="0" t="s">
        <v>287</v>
      </c>
    </row>
    <row r="87" customFormat="false" ht="14.65" hidden="false" customHeight="false" outlineLevel="0" collapsed="false">
      <c r="A87" s="0" t="s">
        <v>412</v>
      </c>
      <c r="B87" s="0" t="s">
        <v>413</v>
      </c>
      <c r="C87" s="0" t="s">
        <v>290</v>
      </c>
    </row>
    <row r="88" customFormat="false" ht="14.65" hidden="false" customHeight="false" outlineLevel="0" collapsed="false">
      <c r="A88" s="0" t="s">
        <v>414</v>
      </c>
      <c r="B88" s="0" t="s">
        <v>415</v>
      </c>
      <c r="C88" s="0" t="s">
        <v>355</v>
      </c>
    </row>
    <row r="89" customFormat="false" ht="14.65" hidden="false" customHeight="false" outlineLevel="0" collapsed="false">
      <c r="A89" s="0" t="s">
        <v>416</v>
      </c>
      <c r="B89" s="0" t="s">
        <v>416</v>
      </c>
      <c r="C89" s="0" t="s">
        <v>276</v>
      </c>
    </row>
    <row r="90" customFormat="false" ht="14.65" hidden="false" customHeight="false" outlineLevel="0" collapsed="false">
      <c r="A90" s="0" t="s">
        <v>417</v>
      </c>
      <c r="B90" s="0" t="s">
        <v>418</v>
      </c>
      <c r="C90" s="0" t="s">
        <v>287</v>
      </c>
    </row>
    <row r="91" customFormat="false" ht="14.65" hidden="false" customHeight="false" outlineLevel="0" collapsed="false">
      <c r="A91" s="0" t="s">
        <v>419</v>
      </c>
      <c r="B91" s="0" t="s">
        <v>420</v>
      </c>
      <c r="C91" s="0" t="s">
        <v>270</v>
      </c>
    </row>
    <row r="92" customFormat="false" ht="14.65" hidden="false" customHeight="false" outlineLevel="0" collapsed="false">
      <c r="A92" s="0" t="s">
        <v>285</v>
      </c>
      <c r="B92" s="0" t="s">
        <v>421</v>
      </c>
      <c r="C92" s="0" t="s">
        <v>287</v>
      </c>
    </row>
    <row r="93" customFormat="false" ht="14.65" hidden="false" customHeight="false" outlineLevel="0" collapsed="false">
      <c r="A93" s="0" t="s">
        <v>422</v>
      </c>
      <c r="B93" s="0" t="s">
        <v>423</v>
      </c>
      <c r="C93" s="0" t="s">
        <v>290</v>
      </c>
    </row>
    <row r="94" customFormat="false" ht="14.65" hidden="false" customHeight="false" outlineLevel="0" collapsed="false">
      <c r="A94" s="0" t="s">
        <v>424</v>
      </c>
      <c r="B94" s="0" t="s">
        <v>425</v>
      </c>
      <c r="C94" s="0" t="s">
        <v>254</v>
      </c>
    </row>
    <row r="95" customFormat="false" ht="14.65" hidden="false" customHeight="false" outlineLevel="0" collapsed="false">
      <c r="A95" s="0" t="s">
        <v>295</v>
      </c>
      <c r="B95" s="0" t="s">
        <v>426</v>
      </c>
      <c r="C95" s="0" t="s">
        <v>290</v>
      </c>
    </row>
    <row r="96" customFormat="false" ht="14.65" hidden="false" customHeight="false" outlineLevel="0" collapsed="false">
      <c r="A96" s="0" t="s">
        <v>297</v>
      </c>
      <c r="B96" s="0" t="s">
        <v>427</v>
      </c>
      <c r="C96" s="0" t="s">
        <v>290</v>
      </c>
    </row>
    <row r="97" customFormat="false" ht="14.65" hidden="false" customHeight="false" outlineLevel="0" collapsed="false">
      <c r="A97" s="0" t="s">
        <v>422</v>
      </c>
      <c r="B97" s="0" t="s">
        <v>428</v>
      </c>
      <c r="C97" s="0" t="s">
        <v>290</v>
      </c>
    </row>
    <row r="98" customFormat="false" ht="14.65" hidden="false" customHeight="false" outlineLevel="0" collapsed="false">
      <c r="A98" s="0" t="s">
        <v>429</v>
      </c>
      <c r="B98" s="0" t="s">
        <v>430</v>
      </c>
      <c r="C98" s="0" t="s">
        <v>290</v>
      </c>
    </row>
    <row r="99" customFormat="false" ht="14.65" hidden="false" customHeight="false" outlineLevel="0" collapsed="false">
      <c r="A99" s="0" t="s">
        <v>244</v>
      </c>
      <c r="B99" s="0" t="s">
        <v>431</v>
      </c>
      <c r="C99" s="0" t="s">
        <v>287</v>
      </c>
    </row>
    <row r="100" customFormat="false" ht="14.65" hidden="false" customHeight="false" outlineLevel="0" collapsed="false">
      <c r="A100" s="0" t="s">
        <v>44</v>
      </c>
      <c r="B100" s="0" t="s">
        <v>432</v>
      </c>
      <c r="C100" s="0" t="s">
        <v>290</v>
      </c>
    </row>
    <row r="101" customFormat="false" ht="14.65" hidden="false" customHeight="false" outlineLevel="0" collapsed="false">
      <c r="A101" s="0" t="s">
        <v>424</v>
      </c>
      <c r="B101" s="0" t="s">
        <v>433</v>
      </c>
      <c r="C101" s="0" t="s">
        <v>254</v>
      </c>
    </row>
    <row r="102" customFormat="false" ht="14.65" hidden="false" customHeight="false" outlineLevel="0" collapsed="false">
      <c r="A102" s="0" t="s">
        <v>176</v>
      </c>
      <c r="B102" s="0" t="s">
        <v>434</v>
      </c>
      <c r="C102" s="0" t="s">
        <v>254</v>
      </c>
    </row>
    <row r="103" customFormat="false" ht="14.65" hidden="false" customHeight="false" outlineLevel="0" collapsed="false">
      <c r="A103" s="0" t="s">
        <v>176</v>
      </c>
      <c r="B103" s="0" t="s">
        <v>435</v>
      </c>
      <c r="C103" s="0" t="s">
        <v>254</v>
      </c>
    </row>
    <row r="104" customFormat="false" ht="14.65" hidden="false" customHeight="false" outlineLevel="0" collapsed="false">
      <c r="A104" s="0" t="s">
        <v>245</v>
      </c>
      <c r="B104" s="0" t="s">
        <v>436</v>
      </c>
      <c r="C104" s="0" t="s">
        <v>287</v>
      </c>
    </row>
    <row r="105" customFormat="false" ht="14.65" hidden="false" customHeight="false" outlineLevel="0" collapsed="false">
      <c r="A105" s="0" t="s">
        <v>225</v>
      </c>
      <c r="B105" s="0" t="s">
        <v>437</v>
      </c>
      <c r="C105" s="0" t="s">
        <v>270</v>
      </c>
    </row>
    <row r="106" customFormat="false" ht="14.65" hidden="false" customHeight="false" outlineLevel="0" collapsed="false">
      <c r="A106" s="0" t="s">
        <v>438</v>
      </c>
      <c r="B106" s="0" t="s">
        <v>439</v>
      </c>
      <c r="C106" s="0" t="s">
        <v>287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Roman,Normal"&amp;12Sida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5" activeCellId="0" sqref="F2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27" width="36.91"/>
    <col collapsed="false" customWidth="true" hidden="false" outlineLevel="0" max="2" min="2" style="27" width="7.15"/>
    <col collapsed="false" customWidth="true" hidden="false" outlineLevel="0" max="3" min="3" style="27" width="20.35"/>
    <col collapsed="false" customWidth="true" hidden="false" outlineLevel="0" max="4" min="4" style="27" width="7.83"/>
    <col collapsed="false" customWidth="true" hidden="false" outlineLevel="0" max="5" min="5" style="0" width="23.83"/>
    <col collapsed="false" customWidth="true" hidden="false" outlineLevel="0" max="6" min="6" style="27" width="22.58"/>
    <col collapsed="false" customWidth="true" hidden="false" outlineLevel="0" max="7" min="7" style="0" width="14.09"/>
  </cols>
  <sheetData>
    <row r="1" customFormat="false" ht="12.8" hidden="false" customHeight="false" outlineLevel="0" collapsed="false">
      <c r="A1" s="28" t="s">
        <v>0</v>
      </c>
      <c r="B1" s="29" t="s">
        <v>250</v>
      </c>
      <c r="C1" s="29" t="s">
        <v>251</v>
      </c>
      <c r="D1" s="0" t="s">
        <v>1</v>
      </c>
      <c r="E1" s="0" t="s">
        <v>440</v>
      </c>
      <c r="F1" s="29" t="s">
        <v>441</v>
      </c>
    </row>
    <row r="2" customFormat="false" ht="12.8" hidden="false" customHeight="false" outlineLevel="0" collapsed="false">
      <c r="A2" s="29" t="s">
        <v>252</v>
      </c>
      <c r="B2" s="29" t="s">
        <v>253</v>
      </c>
      <c r="C2" s="29" t="s">
        <v>254</v>
      </c>
      <c r="D2" s="27" t="s">
        <v>442</v>
      </c>
      <c r="E2" s="30" t="s">
        <v>443</v>
      </c>
      <c r="F2" s="29" t="s">
        <v>444</v>
      </c>
    </row>
    <row r="3" customFormat="false" ht="12.8" hidden="false" customHeight="false" outlineLevel="0" collapsed="false">
      <c r="A3" s="29" t="s">
        <v>252</v>
      </c>
      <c r="B3" s="29" t="s">
        <v>253</v>
      </c>
      <c r="C3" s="29" t="s">
        <v>254</v>
      </c>
      <c r="D3" s="27" t="s">
        <v>442</v>
      </c>
      <c r="E3" s="30" t="s">
        <v>445</v>
      </c>
      <c r="F3" s="29" t="s">
        <v>444</v>
      </c>
    </row>
    <row r="4" customFormat="false" ht="12.8" hidden="false" customHeight="false" outlineLevel="0" collapsed="false">
      <c r="A4" s="29" t="s">
        <v>446</v>
      </c>
      <c r="B4" s="29" t="s">
        <v>256</v>
      </c>
      <c r="C4" s="29" t="s">
        <v>254</v>
      </c>
      <c r="D4" s="27" t="s">
        <v>442</v>
      </c>
      <c r="E4" s="0" t="s">
        <v>447</v>
      </c>
      <c r="F4" s="29" t="s">
        <v>444</v>
      </c>
    </row>
    <row r="5" customFormat="false" ht="12.8" hidden="false" customHeight="false" outlineLevel="0" collapsed="false">
      <c r="A5" s="29" t="s">
        <v>446</v>
      </c>
      <c r="B5" s="29" t="s">
        <v>256</v>
      </c>
      <c r="C5" s="29" t="s">
        <v>254</v>
      </c>
      <c r="D5" s="27" t="s">
        <v>442</v>
      </c>
      <c r="E5" s="0" t="s">
        <v>448</v>
      </c>
      <c r="F5" s="29" t="s">
        <v>444</v>
      </c>
    </row>
    <row r="6" customFormat="false" ht="12.8" hidden="false" customHeight="false" outlineLevel="0" collapsed="false">
      <c r="A6" s="29" t="s">
        <v>257</v>
      </c>
      <c r="B6" s="29" t="s">
        <v>258</v>
      </c>
      <c r="C6" s="29" t="s">
        <v>254</v>
      </c>
      <c r="F6" s="29" t="s">
        <v>449</v>
      </c>
    </row>
    <row r="7" customFormat="false" ht="12.8" hidden="false" customHeight="false" outlineLevel="0" collapsed="false">
      <c r="A7" s="29" t="s">
        <v>259</v>
      </c>
      <c r="B7" s="29" t="s">
        <v>260</v>
      </c>
      <c r="C7" s="29" t="s">
        <v>254</v>
      </c>
      <c r="D7" s="27" t="s">
        <v>442</v>
      </c>
      <c r="E7" s="0" t="s">
        <v>450</v>
      </c>
      <c r="F7" s="29" t="s">
        <v>444</v>
      </c>
    </row>
    <row r="8" customFormat="false" ht="12.8" hidden="false" customHeight="false" outlineLevel="0" collapsed="false">
      <c r="A8" s="29" t="s">
        <v>259</v>
      </c>
      <c r="B8" s="29" t="s">
        <v>260</v>
      </c>
      <c r="C8" s="29" t="s">
        <v>254</v>
      </c>
      <c r="D8" s="27" t="s">
        <v>442</v>
      </c>
      <c r="E8" s="0" t="s">
        <v>451</v>
      </c>
      <c r="F8" s="29" t="s">
        <v>444</v>
      </c>
    </row>
    <row r="9" customFormat="false" ht="12.8" hidden="false" customHeight="false" outlineLevel="0" collapsed="false">
      <c r="A9" s="29" t="s">
        <v>452</v>
      </c>
      <c r="B9" s="29" t="s">
        <v>262</v>
      </c>
      <c r="C9" s="29" t="s">
        <v>254</v>
      </c>
      <c r="D9" s="29"/>
      <c r="F9" s="29" t="s">
        <v>449</v>
      </c>
    </row>
    <row r="10" customFormat="false" ht="12.8" hidden="false" customHeight="false" outlineLevel="0" collapsed="false">
      <c r="A10" s="29" t="s">
        <v>263</v>
      </c>
      <c r="B10" s="29" t="s">
        <v>264</v>
      </c>
      <c r="C10" s="29" t="s">
        <v>254</v>
      </c>
      <c r="F10" s="29" t="s">
        <v>449</v>
      </c>
    </row>
    <row r="11" customFormat="false" ht="12.8" hidden="false" customHeight="false" outlineLevel="0" collapsed="false">
      <c r="A11" s="29" t="s">
        <v>265</v>
      </c>
      <c r="B11" s="29" t="s">
        <v>266</v>
      </c>
      <c r="C11" s="29" t="s">
        <v>254</v>
      </c>
      <c r="F11" s="29" t="s">
        <v>449</v>
      </c>
    </row>
    <row r="12" customFormat="false" ht="12.8" hidden="false" customHeight="false" outlineLevel="0" collapsed="false">
      <c r="A12" s="29" t="s">
        <v>267</v>
      </c>
      <c r="B12" s="29" t="s">
        <v>268</v>
      </c>
      <c r="C12" s="29" t="s">
        <v>254</v>
      </c>
      <c r="F12" s="29" t="s">
        <v>449</v>
      </c>
    </row>
    <row r="13" customFormat="false" ht="12.8" hidden="false" customHeight="false" outlineLevel="0" collapsed="false">
      <c r="A13" s="29" t="s">
        <v>453</v>
      </c>
      <c r="B13" s="29" t="s">
        <v>269</v>
      </c>
      <c r="C13" s="29" t="s">
        <v>270</v>
      </c>
      <c r="D13" s="27" t="s">
        <v>21</v>
      </c>
      <c r="E13" s="0" t="s">
        <v>454</v>
      </c>
      <c r="F13" s="29" t="s">
        <v>444</v>
      </c>
    </row>
    <row r="14" customFormat="false" ht="12.8" hidden="false" customHeight="false" outlineLevel="0" collapsed="false">
      <c r="A14" s="29" t="s">
        <v>455</v>
      </c>
      <c r="B14" s="29" t="s">
        <v>269</v>
      </c>
      <c r="C14" s="29" t="s">
        <v>270</v>
      </c>
      <c r="D14" s="27" t="s">
        <v>21</v>
      </c>
      <c r="E14" s="0" t="s">
        <v>456</v>
      </c>
      <c r="F14" s="29" t="s">
        <v>444</v>
      </c>
    </row>
    <row r="15" customFormat="false" ht="12.8" hidden="false" customHeight="false" outlineLevel="0" collapsed="false">
      <c r="A15" s="29" t="s">
        <v>457</v>
      </c>
      <c r="B15" s="29" t="s">
        <v>269</v>
      </c>
      <c r="C15" s="29" t="s">
        <v>270</v>
      </c>
      <c r="D15" s="27" t="s">
        <v>23</v>
      </c>
      <c r="E15" s="0" t="s">
        <v>458</v>
      </c>
      <c r="F15" s="29" t="s">
        <v>444</v>
      </c>
    </row>
    <row r="16" customFormat="false" ht="12.8" hidden="false" customHeight="false" outlineLevel="0" collapsed="false">
      <c r="A16" s="29" t="s">
        <v>455</v>
      </c>
      <c r="B16" s="29" t="s">
        <v>269</v>
      </c>
      <c r="C16" s="29" t="s">
        <v>270</v>
      </c>
      <c r="D16" s="27" t="s">
        <v>23</v>
      </c>
      <c r="E16" s="0" t="s">
        <v>459</v>
      </c>
      <c r="F16" s="29" t="s">
        <v>444</v>
      </c>
    </row>
    <row r="17" customFormat="false" ht="12.8" hidden="false" customHeight="false" outlineLevel="0" collapsed="false">
      <c r="A17" s="29" t="s">
        <v>271</v>
      </c>
      <c r="B17" s="29" t="s">
        <v>272</v>
      </c>
      <c r="C17" s="29" t="s">
        <v>270</v>
      </c>
      <c r="D17" s="29"/>
      <c r="F17" s="29" t="s">
        <v>449</v>
      </c>
    </row>
    <row r="18" customFormat="false" ht="12.8" hidden="false" customHeight="false" outlineLevel="0" collapsed="false">
      <c r="A18" s="29" t="s">
        <v>460</v>
      </c>
      <c r="B18" s="29" t="s">
        <v>273</v>
      </c>
      <c r="C18" s="29" t="s">
        <v>270</v>
      </c>
      <c r="D18" s="27" t="s">
        <v>23</v>
      </c>
      <c r="E18" s="0" t="s">
        <v>461</v>
      </c>
      <c r="F18" s="29" t="s">
        <v>444</v>
      </c>
    </row>
    <row r="19" customFormat="false" ht="12.8" hidden="false" customHeight="false" outlineLevel="0" collapsed="false">
      <c r="A19" s="29" t="s">
        <v>462</v>
      </c>
      <c r="B19" s="29" t="s">
        <v>273</v>
      </c>
      <c r="C19" s="29" t="s">
        <v>270</v>
      </c>
      <c r="D19" s="27" t="s">
        <v>23</v>
      </c>
      <c r="E19" s="0" t="s">
        <v>463</v>
      </c>
      <c r="F19" s="29" t="s">
        <v>444</v>
      </c>
    </row>
    <row r="20" customFormat="false" ht="12.8" hidden="false" customHeight="false" outlineLevel="0" collapsed="false">
      <c r="A20" s="29" t="s">
        <v>464</v>
      </c>
      <c r="B20" s="29" t="s">
        <v>275</v>
      </c>
      <c r="C20" s="29" t="s">
        <v>276</v>
      </c>
      <c r="F20" s="29" t="s">
        <v>449</v>
      </c>
      <c r="G20" s="0" t="s">
        <v>465</v>
      </c>
    </row>
    <row r="21" customFormat="false" ht="12.8" hidden="false" customHeight="false" outlineLevel="0" collapsed="false">
      <c r="A21" s="29" t="s">
        <v>466</v>
      </c>
      <c r="B21" s="29" t="s">
        <v>278</v>
      </c>
      <c r="C21" s="29" t="s">
        <v>270</v>
      </c>
      <c r="D21" s="29"/>
      <c r="F21" s="29" t="s">
        <v>449</v>
      </c>
    </row>
    <row r="22" customFormat="false" ht="12.8" hidden="false" customHeight="false" outlineLevel="0" collapsed="false">
      <c r="A22" s="29" t="s">
        <v>467</v>
      </c>
      <c r="B22" s="29" t="s">
        <v>280</v>
      </c>
      <c r="C22" s="29" t="s">
        <v>270</v>
      </c>
      <c r="D22" s="27" t="s">
        <v>21</v>
      </c>
      <c r="E22" s="0" t="s">
        <v>468</v>
      </c>
      <c r="F22" s="29" t="s">
        <v>444</v>
      </c>
    </row>
    <row r="23" customFormat="false" ht="12.8" hidden="false" customHeight="false" outlineLevel="0" collapsed="false">
      <c r="A23" s="29" t="s">
        <v>469</v>
      </c>
      <c r="B23" s="29" t="s">
        <v>280</v>
      </c>
      <c r="C23" s="29" t="s">
        <v>270</v>
      </c>
      <c r="D23" s="27" t="s">
        <v>21</v>
      </c>
      <c r="E23" s="0" t="s">
        <v>470</v>
      </c>
      <c r="F23" s="29" t="s">
        <v>444</v>
      </c>
    </row>
    <row r="24" customFormat="false" ht="12.8" hidden="false" customHeight="false" outlineLevel="0" collapsed="false">
      <c r="A24" s="29" t="s">
        <v>467</v>
      </c>
      <c r="B24" s="29" t="s">
        <v>280</v>
      </c>
      <c r="C24" s="29" t="s">
        <v>270</v>
      </c>
      <c r="D24" s="27" t="s">
        <v>23</v>
      </c>
      <c r="E24" s="0" t="s">
        <v>471</v>
      </c>
      <c r="F24" s="29" t="s">
        <v>444</v>
      </c>
    </row>
    <row r="25" customFormat="false" ht="12.8" hidden="false" customHeight="false" outlineLevel="0" collapsed="false">
      <c r="A25" s="29" t="s">
        <v>472</v>
      </c>
      <c r="B25" s="29" t="s">
        <v>280</v>
      </c>
      <c r="C25" s="29" t="s">
        <v>270</v>
      </c>
      <c r="D25" s="27" t="s">
        <v>23</v>
      </c>
      <c r="E25" s="0" t="s">
        <v>473</v>
      </c>
      <c r="F25" s="29" t="s">
        <v>444</v>
      </c>
    </row>
    <row r="26" customFormat="false" ht="12.8" hidden="false" customHeight="false" outlineLevel="0" collapsed="false">
      <c r="A26" s="29" t="s">
        <v>474</v>
      </c>
      <c r="B26" s="29" t="s">
        <v>282</v>
      </c>
      <c r="C26" s="29" t="s">
        <v>270</v>
      </c>
      <c r="D26" s="27" t="s">
        <v>23</v>
      </c>
      <c r="E26" s="0" t="s">
        <v>475</v>
      </c>
      <c r="F26" s="29" t="s">
        <v>444</v>
      </c>
    </row>
    <row r="27" customFormat="false" ht="12.8" hidden="false" customHeight="false" outlineLevel="0" collapsed="false">
      <c r="A27" s="29" t="s">
        <v>476</v>
      </c>
      <c r="B27" s="29" t="s">
        <v>282</v>
      </c>
      <c r="C27" s="29" t="s">
        <v>270</v>
      </c>
      <c r="D27" s="27" t="s">
        <v>23</v>
      </c>
      <c r="E27" s="0" t="s">
        <v>477</v>
      </c>
      <c r="F27" s="29" t="s">
        <v>444</v>
      </c>
    </row>
    <row r="28" customFormat="false" ht="12.8" hidden="false" customHeight="false" outlineLevel="0" collapsed="false">
      <c r="A28" s="29" t="s">
        <v>478</v>
      </c>
      <c r="B28" s="29" t="s">
        <v>283</v>
      </c>
      <c r="C28" s="29" t="s">
        <v>270</v>
      </c>
      <c r="D28" s="27" t="s">
        <v>21</v>
      </c>
      <c r="E28" s="0" t="s">
        <v>479</v>
      </c>
      <c r="F28" s="29" t="s">
        <v>444</v>
      </c>
    </row>
    <row r="29" customFormat="false" ht="12.8" hidden="false" customHeight="false" outlineLevel="0" collapsed="false">
      <c r="A29" s="29" t="s">
        <v>480</v>
      </c>
      <c r="B29" s="29" t="s">
        <v>283</v>
      </c>
      <c r="C29" s="29" t="s">
        <v>270</v>
      </c>
      <c r="D29" s="27" t="s">
        <v>21</v>
      </c>
      <c r="E29" s="0" t="s">
        <v>481</v>
      </c>
      <c r="F29" s="29" t="s">
        <v>444</v>
      </c>
    </row>
    <row r="30" customFormat="false" ht="12.8" hidden="false" customHeight="false" outlineLevel="0" collapsed="false">
      <c r="A30" s="29" t="s">
        <v>478</v>
      </c>
      <c r="B30" s="29" t="s">
        <v>283</v>
      </c>
      <c r="C30" s="29" t="s">
        <v>270</v>
      </c>
      <c r="D30" s="27" t="s">
        <v>23</v>
      </c>
      <c r="E30" s="0" t="s">
        <v>482</v>
      </c>
      <c r="F30" s="29" t="s">
        <v>444</v>
      </c>
    </row>
    <row r="31" customFormat="false" ht="12.8" hidden="false" customHeight="false" outlineLevel="0" collapsed="false">
      <c r="A31" s="29" t="s">
        <v>483</v>
      </c>
      <c r="B31" s="29" t="s">
        <v>283</v>
      </c>
      <c r="C31" s="29" t="s">
        <v>270</v>
      </c>
      <c r="D31" s="27" t="s">
        <v>23</v>
      </c>
      <c r="E31" s="0" t="s">
        <v>484</v>
      </c>
      <c r="F31" s="29" t="s">
        <v>444</v>
      </c>
    </row>
    <row r="32" customFormat="false" ht="12.8" hidden="false" customHeight="false" outlineLevel="0" collapsed="false">
      <c r="A32" s="29" t="s">
        <v>485</v>
      </c>
      <c r="B32" s="29" t="s">
        <v>284</v>
      </c>
      <c r="C32" s="29" t="s">
        <v>270</v>
      </c>
      <c r="D32" s="27" t="s">
        <v>21</v>
      </c>
      <c r="E32" s="0" t="s">
        <v>486</v>
      </c>
      <c r="F32" s="29" t="s">
        <v>444</v>
      </c>
    </row>
    <row r="33" customFormat="false" ht="12.8" hidden="false" customHeight="false" outlineLevel="0" collapsed="false">
      <c r="A33" s="29" t="s">
        <v>487</v>
      </c>
      <c r="B33" s="29" t="s">
        <v>284</v>
      </c>
      <c r="C33" s="29" t="s">
        <v>270</v>
      </c>
      <c r="D33" s="27" t="s">
        <v>21</v>
      </c>
      <c r="E33" s="0" t="s">
        <v>488</v>
      </c>
      <c r="F33" s="29" t="s">
        <v>444</v>
      </c>
    </row>
    <row r="34" customFormat="false" ht="12.8" hidden="false" customHeight="false" outlineLevel="0" collapsed="false">
      <c r="A34" s="29" t="s">
        <v>489</v>
      </c>
      <c r="B34" s="29" t="s">
        <v>284</v>
      </c>
      <c r="C34" s="29" t="s">
        <v>270</v>
      </c>
      <c r="D34" s="27" t="s">
        <v>23</v>
      </c>
      <c r="E34" s="0" t="s">
        <v>490</v>
      </c>
      <c r="F34" s="29" t="s">
        <v>444</v>
      </c>
    </row>
    <row r="35" customFormat="false" ht="12.8" hidden="false" customHeight="false" outlineLevel="0" collapsed="false">
      <c r="A35" s="29" t="s">
        <v>485</v>
      </c>
      <c r="B35" s="29" t="s">
        <v>284</v>
      </c>
      <c r="C35" s="29" t="s">
        <v>270</v>
      </c>
      <c r="D35" s="27" t="s">
        <v>23</v>
      </c>
      <c r="E35" s="0" t="s">
        <v>491</v>
      </c>
      <c r="F35" s="29" t="s">
        <v>444</v>
      </c>
    </row>
    <row r="36" customFormat="false" ht="12.8" hidden="false" customHeight="false" outlineLevel="0" collapsed="false">
      <c r="A36" s="29" t="s">
        <v>492</v>
      </c>
      <c r="B36" s="29" t="s">
        <v>286</v>
      </c>
      <c r="C36" s="29" t="s">
        <v>287</v>
      </c>
      <c r="D36" s="27" t="s">
        <v>23</v>
      </c>
      <c r="E36" s="0" t="s">
        <v>493</v>
      </c>
      <c r="F36" s="29" t="s">
        <v>444</v>
      </c>
    </row>
    <row r="37" customFormat="false" ht="12.8" hidden="false" customHeight="false" outlineLevel="0" collapsed="false">
      <c r="A37" s="29" t="s">
        <v>494</v>
      </c>
      <c r="B37" s="29" t="s">
        <v>286</v>
      </c>
      <c r="C37" s="29" t="s">
        <v>287</v>
      </c>
      <c r="D37" s="27" t="s">
        <v>23</v>
      </c>
      <c r="E37" s="0" t="s">
        <v>495</v>
      </c>
      <c r="F37" s="29" t="s">
        <v>444</v>
      </c>
    </row>
    <row r="38" customFormat="false" ht="12.8" hidden="false" customHeight="false" outlineLevel="0" collapsed="false">
      <c r="A38" s="29" t="s">
        <v>496</v>
      </c>
      <c r="B38" s="29" t="s">
        <v>289</v>
      </c>
      <c r="C38" s="29" t="s">
        <v>290</v>
      </c>
      <c r="D38" s="27" t="s">
        <v>21</v>
      </c>
      <c r="E38" s="0" t="s">
        <v>497</v>
      </c>
      <c r="F38" s="29" t="s">
        <v>444</v>
      </c>
    </row>
    <row r="39" customFormat="false" ht="12.8" hidden="false" customHeight="false" outlineLevel="0" collapsed="false">
      <c r="A39" s="29" t="s">
        <v>498</v>
      </c>
      <c r="B39" s="29" t="s">
        <v>289</v>
      </c>
      <c r="C39" s="29" t="s">
        <v>290</v>
      </c>
      <c r="D39" s="27" t="s">
        <v>21</v>
      </c>
      <c r="E39" s="0" t="s">
        <v>499</v>
      </c>
      <c r="F39" s="29" t="s">
        <v>444</v>
      </c>
    </row>
    <row r="40" customFormat="false" ht="12.8" hidden="false" customHeight="false" outlineLevel="0" collapsed="false">
      <c r="A40" s="29" t="s">
        <v>500</v>
      </c>
      <c r="B40" s="29" t="s">
        <v>289</v>
      </c>
      <c r="C40" s="29" t="s">
        <v>290</v>
      </c>
      <c r="D40" s="27" t="s">
        <v>23</v>
      </c>
      <c r="E40" s="0" t="s">
        <v>501</v>
      </c>
      <c r="F40" s="29" t="s">
        <v>444</v>
      </c>
    </row>
    <row r="41" customFormat="false" ht="12.8" hidden="false" customHeight="false" outlineLevel="0" collapsed="false">
      <c r="A41" s="29" t="s">
        <v>502</v>
      </c>
      <c r="B41" s="29" t="s">
        <v>289</v>
      </c>
      <c r="C41" s="29" t="s">
        <v>290</v>
      </c>
      <c r="D41" s="27" t="s">
        <v>23</v>
      </c>
      <c r="E41" s="0" t="s">
        <v>503</v>
      </c>
      <c r="F41" s="29" t="s">
        <v>444</v>
      </c>
    </row>
    <row r="42" customFormat="false" ht="12.8" hidden="false" customHeight="false" outlineLevel="0" collapsed="false">
      <c r="A42" s="29" t="s">
        <v>504</v>
      </c>
      <c r="B42" s="29" t="s">
        <v>292</v>
      </c>
      <c r="C42" s="29" t="s">
        <v>290</v>
      </c>
      <c r="D42" s="27" t="s">
        <v>23</v>
      </c>
      <c r="E42" s="0" t="s">
        <v>505</v>
      </c>
      <c r="F42" s="29" t="s">
        <v>444</v>
      </c>
    </row>
    <row r="43" customFormat="false" ht="12.8" hidden="false" customHeight="false" outlineLevel="0" collapsed="false">
      <c r="A43" s="29" t="s">
        <v>506</v>
      </c>
      <c r="B43" s="29" t="s">
        <v>292</v>
      </c>
      <c r="C43" s="29" t="s">
        <v>290</v>
      </c>
      <c r="D43" s="27" t="s">
        <v>23</v>
      </c>
      <c r="E43" s="0" t="s">
        <v>507</v>
      </c>
      <c r="F43" s="29" t="s">
        <v>444</v>
      </c>
    </row>
    <row r="44" customFormat="false" ht="12.8" hidden="false" customHeight="false" outlineLevel="0" collapsed="false">
      <c r="A44" s="29" t="s">
        <v>504</v>
      </c>
      <c r="B44" s="29" t="s">
        <v>292</v>
      </c>
      <c r="C44" s="29" t="s">
        <v>290</v>
      </c>
      <c r="D44" s="27" t="s">
        <v>23</v>
      </c>
      <c r="E44" s="0" t="s">
        <v>508</v>
      </c>
      <c r="F44" s="29" t="s">
        <v>444</v>
      </c>
    </row>
    <row r="45" customFormat="false" ht="12.8" hidden="false" customHeight="false" outlineLevel="0" collapsed="false">
      <c r="A45" s="29" t="s">
        <v>506</v>
      </c>
      <c r="B45" s="29" t="s">
        <v>292</v>
      </c>
      <c r="C45" s="29" t="s">
        <v>290</v>
      </c>
      <c r="D45" s="27" t="s">
        <v>23</v>
      </c>
      <c r="E45" s="0" t="s">
        <v>509</v>
      </c>
      <c r="F45" s="29" t="s">
        <v>444</v>
      </c>
    </row>
    <row r="46" customFormat="false" ht="12.8" hidden="false" customHeight="false" outlineLevel="0" collapsed="false">
      <c r="A46" s="29" t="s">
        <v>293</v>
      </c>
      <c r="B46" s="29" t="s">
        <v>294</v>
      </c>
      <c r="C46" s="29" t="s">
        <v>290</v>
      </c>
      <c r="F46" s="29" t="s">
        <v>449</v>
      </c>
    </row>
    <row r="47" customFormat="false" ht="12.8" hidden="false" customHeight="false" outlineLevel="0" collapsed="false">
      <c r="A47" s="29" t="s">
        <v>510</v>
      </c>
      <c r="B47" s="29" t="s">
        <v>296</v>
      </c>
      <c r="C47" s="29" t="s">
        <v>290</v>
      </c>
      <c r="D47" s="27" t="s">
        <v>21</v>
      </c>
      <c r="E47" s="0" t="s">
        <v>511</v>
      </c>
      <c r="F47" s="29" t="s">
        <v>444</v>
      </c>
    </row>
    <row r="48" customFormat="false" ht="12.8" hidden="false" customHeight="false" outlineLevel="0" collapsed="false">
      <c r="A48" s="29" t="s">
        <v>512</v>
      </c>
      <c r="B48" s="29" t="s">
        <v>296</v>
      </c>
      <c r="C48" s="29" t="s">
        <v>290</v>
      </c>
      <c r="D48" s="27" t="s">
        <v>21</v>
      </c>
      <c r="E48" s="0" t="s">
        <v>513</v>
      </c>
      <c r="F48" s="29" t="s">
        <v>444</v>
      </c>
    </row>
    <row r="49" customFormat="false" ht="12.8" hidden="false" customHeight="false" outlineLevel="0" collapsed="false">
      <c r="A49" s="29" t="s">
        <v>514</v>
      </c>
      <c r="B49" s="29" t="s">
        <v>296</v>
      </c>
      <c r="C49" s="29" t="s">
        <v>290</v>
      </c>
      <c r="D49" s="27" t="s">
        <v>23</v>
      </c>
      <c r="E49" s="0" t="s">
        <v>515</v>
      </c>
      <c r="F49" s="29" t="s">
        <v>444</v>
      </c>
    </row>
    <row r="50" customFormat="false" ht="12.8" hidden="false" customHeight="false" outlineLevel="0" collapsed="false">
      <c r="A50" s="29" t="s">
        <v>516</v>
      </c>
      <c r="B50" s="29" t="s">
        <v>296</v>
      </c>
      <c r="C50" s="29" t="s">
        <v>290</v>
      </c>
      <c r="D50" s="27" t="s">
        <v>23</v>
      </c>
      <c r="E50" s="0" t="s">
        <v>517</v>
      </c>
      <c r="F50" s="29" t="s">
        <v>444</v>
      </c>
    </row>
    <row r="51" customFormat="false" ht="12.8" hidden="false" customHeight="false" outlineLevel="0" collapsed="false">
      <c r="A51" s="29" t="s">
        <v>518</v>
      </c>
      <c r="B51" s="29" t="s">
        <v>298</v>
      </c>
      <c r="C51" s="29" t="s">
        <v>290</v>
      </c>
      <c r="D51" s="27" t="s">
        <v>21</v>
      </c>
      <c r="E51" s="0" t="s">
        <v>519</v>
      </c>
      <c r="F51" s="29" t="s">
        <v>444</v>
      </c>
    </row>
    <row r="52" customFormat="false" ht="12.8" hidden="false" customHeight="false" outlineLevel="0" collapsed="false">
      <c r="A52" s="29" t="s">
        <v>520</v>
      </c>
      <c r="B52" s="29" t="s">
        <v>298</v>
      </c>
      <c r="C52" s="29" t="s">
        <v>290</v>
      </c>
      <c r="D52" s="27" t="s">
        <v>21</v>
      </c>
      <c r="E52" s="0" t="s">
        <v>521</v>
      </c>
      <c r="F52" s="29" t="s">
        <v>444</v>
      </c>
    </row>
    <row r="53" customFormat="false" ht="12.8" hidden="false" customHeight="false" outlineLevel="0" collapsed="false">
      <c r="A53" s="29" t="s">
        <v>522</v>
      </c>
      <c r="B53" s="29" t="s">
        <v>298</v>
      </c>
      <c r="C53" s="29" t="s">
        <v>290</v>
      </c>
      <c r="D53" s="27" t="s">
        <v>23</v>
      </c>
      <c r="E53" s="0" t="s">
        <v>523</v>
      </c>
      <c r="F53" s="29" t="s">
        <v>444</v>
      </c>
    </row>
    <row r="54" customFormat="false" ht="12.8" hidden="false" customHeight="false" outlineLevel="0" collapsed="false">
      <c r="A54" s="29" t="s">
        <v>524</v>
      </c>
      <c r="B54" s="29" t="s">
        <v>298</v>
      </c>
      <c r="C54" s="29" t="s">
        <v>290</v>
      </c>
      <c r="D54" s="27" t="s">
        <v>23</v>
      </c>
      <c r="E54" s="0" t="s">
        <v>525</v>
      </c>
      <c r="F54" s="29" t="s">
        <v>444</v>
      </c>
    </row>
    <row r="55" customFormat="false" ht="12.8" hidden="false" customHeight="false" outlineLevel="0" collapsed="false">
      <c r="A55" s="29" t="s">
        <v>526</v>
      </c>
      <c r="B55" s="29" t="s">
        <v>300</v>
      </c>
      <c r="C55" s="29" t="s">
        <v>270</v>
      </c>
      <c r="F55" s="29" t="s">
        <v>449</v>
      </c>
    </row>
    <row r="56" customFormat="false" ht="12.8" hidden="false" customHeight="false" outlineLevel="0" collapsed="false">
      <c r="A56" s="29" t="s">
        <v>527</v>
      </c>
      <c r="B56" s="29" t="s">
        <v>302</v>
      </c>
      <c r="C56" s="29" t="s">
        <v>290</v>
      </c>
      <c r="D56" s="27" t="s">
        <v>21</v>
      </c>
      <c r="E56" s="0" t="s">
        <v>528</v>
      </c>
      <c r="F56" s="29" t="s">
        <v>444</v>
      </c>
    </row>
    <row r="57" customFormat="false" ht="12.8" hidden="false" customHeight="false" outlineLevel="0" collapsed="false">
      <c r="A57" s="29" t="s">
        <v>301</v>
      </c>
      <c r="B57" s="29" t="s">
        <v>302</v>
      </c>
      <c r="C57" s="29" t="s">
        <v>290</v>
      </c>
      <c r="D57" s="27" t="s">
        <v>21</v>
      </c>
      <c r="E57" s="0" t="s">
        <v>529</v>
      </c>
      <c r="F57" s="29" t="s">
        <v>444</v>
      </c>
    </row>
    <row r="58" customFormat="false" ht="12.8" hidden="false" customHeight="false" outlineLevel="0" collapsed="false">
      <c r="A58" s="29" t="s">
        <v>530</v>
      </c>
      <c r="B58" s="29" t="s">
        <v>304</v>
      </c>
      <c r="C58" s="29" t="s">
        <v>290</v>
      </c>
      <c r="D58" s="27" t="s">
        <v>21</v>
      </c>
      <c r="E58" s="0" t="s">
        <v>531</v>
      </c>
      <c r="F58" s="29" t="s">
        <v>444</v>
      </c>
    </row>
    <row r="59" customFormat="false" ht="12.8" hidden="false" customHeight="false" outlineLevel="0" collapsed="false">
      <c r="A59" s="29" t="s">
        <v>532</v>
      </c>
      <c r="B59" s="29" t="s">
        <v>304</v>
      </c>
      <c r="C59" s="29" t="s">
        <v>290</v>
      </c>
      <c r="D59" s="27" t="s">
        <v>21</v>
      </c>
      <c r="E59" s="0" t="s">
        <v>533</v>
      </c>
      <c r="F59" s="29" t="s">
        <v>444</v>
      </c>
    </row>
    <row r="60" customFormat="false" ht="12.8" hidden="false" customHeight="false" outlineLevel="0" collapsed="false">
      <c r="A60" s="29" t="s">
        <v>534</v>
      </c>
      <c r="B60" s="29" t="s">
        <v>304</v>
      </c>
      <c r="C60" s="29" t="s">
        <v>290</v>
      </c>
      <c r="D60" s="27" t="s">
        <v>23</v>
      </c>
      <c r="E60" s="0" t="s">
        <v>535</v>
      </c>
      <c r="F60" s="29" t="s">
        <v>444</v>
      </c>
    </row>
    <row r="61" customFormat="false" ht="12.8" hidden="false" customHeight="false" outlineLevel="0" collapsed="false">
      <c r="A61" s="29" t="s">
        <v>305</v>
      </c>
      <c r="B61" s="29" t="s">
        <v>306</v>
      </c>
      <c r="C61" s="29" t="s">
        <v>290</v>
      </c>
      <c r="F61" s="29" t="s">
        <v>449</v>
      </c>
    </row>
    <row r="62" customFormat="false" ht="12.8" hidden="false" customHeight="false" outlineLevel="0" collapsed="false">
      <c r="A62" s="29" t="s">
        <v>536</v>
      </c>
      <c r="B62" s="29" t="s">
        <v>308</v>
      </c>
      <c r="C62" s="29" t="s">
        <v>290</v>
      </c>
      <c r="D62" s="27" t="s">
        <v>21</v>
      </c>
      <c r="E62" s="0" t="s">
        <v>537</v>
      </c>
      <c r="F62" s="29" t="s">
        <v>444</v>
      </c>
    </row>
    <row r="63" customFormat="false" ht="12.8" hidden="false" customHeight="false" outlineLevel="0" collapsed="false">
      <c r="A63" s="29" t="s">
        <v>538</v>
      </c>
      <c r="B63" s="29" t="s">
        <v>308</v>
      </c>
      <c r="C63" s="29" t="s">
        <v>290</v>
      </c>
      <c r="D63" s="27" t="s">
        <v>21</v>
      </c>
      <c r="E63" s="0" t="s">
        <v>539</v>
      </c>
      <c r="F63" s="29" t="s">
        <v>444</v>
      </c>
    </row>
    <row r="64" customFormat="false" ht="12.8" hidden="false" customHeight="false" outlineLevel="0" collapsed="false">
      <c r="A64" s="29" t="s">
        <v>540</v>
      </c>
      <c r="B64" s="29" t="s">
        <v>308</v>
      </c>
      <c r="C64" s="29" t="s">
        <v>290</v>
      </c>
      <c r="D64" s="27" t="s">
        <v>23</v>
      </c>
      <c r="E64" s="0" t="s">
        <v>541</v>
      </c>
      <c r="F64" s="29" t="s">
        <v>444</v>
      </c>
    </row>
    <row r="65" customFormat="false" ht="12.8" hidden="false" customHeight="false" outlineLevel="0" collapsed="false">
      <c r="A65" s="29" t="s">
        <v>542</v>
      </c>
      <c r="B65" s="29" t="s">
        <v>310</v>
      </c>
      <c r="C65" s="29" t="s">
        <v>287</v>
      </c>
      <c r="D65" s="27" t="s">
        <v>23</v>
      </c>
      <c r="E65" s="0" t="s">
        <v>543</v>
      </c>
      <c r="F65" s="29" t="s">
        <v>444</v>
      </c>
    </row>
    <row r="66" customFormat="false" ht="12.8" hidden="false" customHeight="false" outlineLevel="0" collapsed="false">
      <c r="A66" s="31" t="s">
        <v>544</v>
      </c>
      <c r="B66" s="29" t="s">
        <v>310</v>
      </c>
      <c r="C66" s="29" t="s">
        <v>287</v>
      </c>
      <c r="D66" s="27" t="s">
        <v>23</v>
      </c>
      <c r="E66" s="0" t="s">
        <v>545</v>
      </c>
      <c r="F66" s="29" t="s">
        <v>444</v>
      </c>
    </row>
    <row r="67" customFormat="false" ht="12.8" hidden="false" customHeight="false" outlineLevel="0" collapsed="false">
      <c r="A67" s="29" t="s">
        <v>546</v>
      </c>
      <c r="B67" s="29" t="s">
        <v>312</v>
      </c>
      <c r="C67" s="29" t="s">
        <v>287</v>
      </c>
      <c r="D67" s="27" t="s">
        <v>23</v>
      </c>
      <c r="E67" s="0" t="s">
        <v>547</v>
      </c>
      <c r="F67" s="29" t="s">
        <v>444</v>
      </c>
    </row>
    <row r="68" customFormat="false" ht="12.8" hidden="false" customHeight="false" outlineLevel="0" collapsed="false">
      <c r="A68" s="29" t="s">
        <v>548</v>
      </c>
      <c r="B68" s="29" t="s">
        <v>312</v>
      </c>
      <c r="C68" s="29" t="s">
        <v>287</v>
      </c>
      <c r="D68" s="27" t="s">
        <v>23</v>
      </c>
      <c r="E68" s="0" t="s">
        <v>549</v>
      </c>
      <c r="F68" s="29" t="s">
        <v>444</v>
      </c>
    </row>
    <row r="69" customFormat="false" ht="12.8" hidden="false" customHeight="false" outlineLevel="0" collapsed="false">
      <c r="A69" s="29" t="s">
        <v>550</v>
      </c>
      <c r="B69" s="29" t="s">
        <v>314</v>
      </c>
      <c r="C69" s="29" t="s">
        <v>287</v>
      </c>
      <c r="D69" s="27" t="s">
        <v>23</v>
      </c>
      <c r="E69" s="0" t="s">
        <v>551</v>
      </c>
      <c r="F69" s="29" t="s">
        <v>444</v>
      </c>
    </row>
    <row r="70" customFormat="false" ht="12.8" hidden="false" customHeight="false" outlineLevel="0" collapsed="false">
      <c r="A70" s="29" t="s">
        <v>552</v>
      </c>
      <c r="B70" s="29" t="s">
        <v>314</v>
      </c>
      <c r="C70" s="29" t="s">
        <v>287</v>
      </c>
      <c r="D70" s="27" t="s">
        <v>23</v>
      </c>
      <c r="E70" s="0" t="s">
        <v>553</v>
      </c>
      <c r="F70" s="29" t="s">
        <v>444</v>
      </c>
    </row>
    <row r="71" customFormat="false" ht="12.8" hidden="false" customHeight="false" outlineLevel="0" collapsed="false">
      <c r="A71" s="29" t="s">
        <v>554</v>
      </c>
      <c r="B71" s="29" t="s">
        <v>316</v>
      </c>
      <c r="C71" s="29" t="s">
        <v>270</v>
      </c>
      <c r="D71" s="27" t="s">
        <v>23</v>
      </c>
      <c r="E71" s="0" t="s">
        <v>555</v>
      </c>
      <c r="F71" s="29" t="s">
        <v>444</v>
      </c>
    </row>
    <row r="72" customFormat="false" ht="12.8" hidden="false" customHeight="false" outlineLevel="0" collapsed="false">
      <c r="A72" s="29" t="s">
        <v>556</v>
      </c>
      <c r="B72" s="29" t="s">
        <v>316</v>
      </c>
      <c r="C72" s="29" t="s">
        <v>270</v>
      </c>
      <c r="D72" s="27" t="s">
        <v>23</v>
      </c>
      <c r="E72" s="0" t="s">
        <v>557</v>
      </c>
      <c r="F72" s="29" t="s">
        <v>444</v>
      </c>
    </row>
    <row r="73" customFormat="false" ht="12.8" hidden="false" customHeight="false" outlineLevel="0" collapsed="false">
      <c r="A73" s="29" t="s">
        <v>558</v>
      </c>
      <c r="B73" s="29" t="s">
        <v>318</v>
      </c>
      <c r="C73" s="29" t="s">
        <v>270</v>
      </c>
      <c r="D73" s="27" t="s">
        <v>21</v>
      </c>
      <c r="E73" s="0" t="s">
        <v>559</v>
      </c>
      <c r="F73" s="29" t="s">
        <v>444</v>
      </c>
    </row>
    <row r="74" customFormat="false" ht="12.8" hidden="false" customHeight="false" outlineLevel="0" collapsed="false">
      <c r="A74" s="29" t="s">
        <v>560</v>
      </c>
      <c r="B74" s="29" t="s">
        <v>318</v>
      </c>
      <c r="C74" s="29" t="s">
        <v>270</v>
      </c>
      <c r="D74" s="27" t="s">
        <v>21</v>
      </c>
      <c r="E74" s="0" t="s">
        <v>561</v>
      </c>
      <c r="F74" s="29" t="s">
        <v>444</v>
      </c>
    </row>
    <row r="75" customFormat="false" ht="12.8" hidden="false" customHeight="false" outlineLevel="0" collapsed="false">
      <c r="A75" s="29" t="s">
        <v>562</v>
      </c>
      <c r="B75" s="29" t="s">
        <v>318</v>
      </c>
      <c r="C75" s="29" t="s">
        <v>270</v>
      </c>
      <c r="D75" s="27" t="s">
        <v>23</v>
      </c>
      <c r="E75" s="0" t="s">
        <v>563</v>
      </c>
      <c r="F75" s="29" t="s">
        <v>444</v>
      </c>
    </row>
    <row r="76" customFormat="false" ht="12.8" hidden="false" customHeight="false" outlineLevel="0" collapsed="false">
      <c r="A76" s="29" t="s">
        <v>564</v>
      </c>
      <c r="B76" s="29" t="s">
        <v>318</v>
      </c>
      <c r="C76" s="29" t="s">
        <v>270</v>
      </c>
      <c r="D76" s="27" t="s">
        <v>23</v>
      </c>
      <c r="E76" s="0" t="s">
        <v>565</v>
      </c>
      <c r="F76" s="29" t="s">
        <v>444</v>
      </c>
    </row>
    <row r="77" customFormat="false" ht="12.8" hidden="false" customHeight="false" outlineLevel="0" collapsed="false">
      <c r="A77" s="29" t="s">
        <v>566</v>
      </c>
      <c r="B77" s="29" t="s">
        <v>320</v>
      </c>
      <c r="C77" s="29" t="s">
        <v>270</v>
      </c>
      <c r="D77" s="27" t="s">
        <v>21</v>
      </c>
      <c r="E77" s="0" t="s">
        <v>567</v>
      </c>
      <c r="F77" s="29" t="s">
        <v>444</v>
      </c>
    </row>
    <row r="78" customFormat="false" ht="12.8" hidden="false" customHeight="false" outlineLevel="0" collapsed="false">
      <c r="A78" s="29" t="s">
        <v>568</v>
      </c>
      <c r="B78" s="29" t="s">
        <v>320</v>
      </c>
      <c r="C78" s="29" t="s">
        <v>270</v>
      </c>
      <c r="D78" s="27" t="s">
        <v>21</v>
      </c>
      <c r="E78" s="0" t="s">
        <v>569</v>
      </c>
      <c r="F78" s="29" t="s">
        <v>444</v>
      </c>
    </row>
    <row r="79" customFormat="false" ht="12.8" hidden="false" customHeight="false" outlineLevel="0" collapsed="false">
      <c r="A79" s="29" t="s">
        <v>566</v>
      </c>
      <c r="B79" s="29" t="s">
        <v>320</v>
      </c>
      <c r="C79" s="29" t="s">
        <v>270</v>
      </c>
      <c r="D79" s="27" t="s">
        <v>23</v>
      </c>
      <c r="E79" s="0" t="s">
        <v>570</v>
      </c>
      <c r="F79" s="29" t="s">
        <v>444</v>
      </c>
    </row>
    <row r="80" customFormat="false" ht="12.8" hidden="false" customHeight="false" outlineLevel="0" collapsed="false">
      <c r="A80" s="29" t="s">
        <v>571</v>
      </c>
      <c r="B80" s="29" t="s">
        <v>320</v>
      </c>
      <c r="C80" s="29" t="s">
        <v>270</v>
      </c>
      <c r="D80" s="27" t="s">
        <v>23</v>
      </c>
      <c r="E80" s="0" t="s">
        <v>572</v>
      </c>
      <c r="F80" s="29" t="s">
        <v>444</v>
      </c>
    </row>
    <row r="81" customFormat="false" ht="12.8" hidden="false" customHeight="false" outlineLevel="0" collapsed="false">
      <c r="A81" s="29" t="s">
        <v>573</v>
      </c>
      <c r="B81" s="29" t="s">
        <v>322</v>
      </c>
      <c r="C81" s="29" t="s">
        <v>290</v>
      </c>
      <c r="D81" s="27" t="s">
        <v>21</v>
      </c>
      <c r="E81" s="0" t="s">
        <v>574</v>
      </c>
      <c r="F81" s="29" t="s">
        <v>444</v>
      </c>
    </row>
    <row r="82" customFormat="false" ht="12.8" hidden="false" customHeight="false" outlineLevel="0" collapsed="false">
      <c r="A82" s="29" t="s">
        <v>575</v>
      </c>
      <c r="B82" s="29" t="s">
        <v>322</v>
      </c>
      <c r="C82" s="29" t="s">
        <v>290</v>
      </c>
      <c r="D82" s="27" t="s">
        <v>23</v>
      </c>
      <c r="E82" s="0" t="s">
        <v>576</v>
      </c>
      <c r="F82" s="29" t="s">
        <v>444</v>
      </c>
    </row>
    <row r="83" customFormat="false" ht="12.8" hidden="false" customHeight="false" outlineLevel="0" collapsed="false">
      <c r="A83" s="29" t="s">
        <v>577</v>
      </c>
      <c r="B83" s="29" t="s">
        <v>322</v>
      </c>
      <c r="C83" s="29" t="s">
        <v>290</v>
      </c>
      <c r="D83" s="27" t="s">
        <v>23</v>
      </c>
      <c r="E83" s="0" t="s">
        <v>578</v>
      </c>
      <c r="F83" s="29" t="s">
        <v>444</v>
      </c>
    </row>
    <row r="84" customFormat="false" ht="12.8" hidden="false" customHeight="false" outlineLevel="0" collapsed="false">
      <c r="A84" s="29" t="s">
        <v>579</v>
      </c>
      <c r="B84" s="29" t="s">
        <v>324</v>
      </c>
      <c r="C84" s="29" t="s">
        <v>287</v>
      </c>
      <c r="D84" s="27" t="s">
        <v>23</v>
      </c>
      <c r="E84" s="0" t="s">
        <v>580</v>
      </c>
      <c r="F84" s="29" t="s">
        <v>444</v>
      </c>
    </row>
    <row r="85" customFormat="false" ht="12.8" hidden="false" customHeight="false" outlineLevel="0" collapsed="false">
      <c r="A85" s="29" t="s">
        <v>581</v>
      </c>
      <c r="B85" s="29" t="s">
        <v>324</v>
      </c>
      <c r="C85" s="29" t="s">
        <v>287</v>
      </c>
      <c r="D85" s="27" t="s">
        <v>23</v>
      </c>
      <c r="E85" s="0" t="s">
        <v>582</v>
      </c>
      <c r="F85" s="29" t="s">
        <v>444</v>
      </c>
    </row>
    <row r="86" customFormat="false" ht="12.8" hidden="false" customHeight="false" outlineLevel="0" collapsed="false">
      <c r="A86" s="29" t="s">
        <v>583</v>
      </c>
      <c r="B86" s="29" t="s">
        <v>326</v>
      </c>
      <c r="C86" s="29" t="s">
        <v>287</v>
      </c>
      <c r="D86" s="31" t="s">
        <v>23</v>
      </c>
      <c r="E86" s="0" t="s">
        <v>584</v>
      </c>
      <c r="F86" s="29" t="s">
        <v>444</v>
      </c>
    </row>
    <row r="87" customFormat="false" ht="12.8" hidden="false" customHeight="false" outlineLevel="0" collapsed="false">
      <c r="A87" s="29" t="s">
        <v>585</v>
      </c>
      <c r="B87" s="29" t="s">
        <v>326</v>
      </c>
      <c r="C87" s="29" t="s">
        <v>287</v>
      </c>
      <c r="D87" s="27" t="s">
        <v>23</v>
      </c>
      <c r="E87" s="0" t="s">
        <v>586</v>
      </c>
      <c r="F87" s="29" t="s">
        <v>444</v>
      </c>
    </row>
    <row r="88" customFormat="false" ht="12.8" hidden="false" customHeight="false" outlineLevel="0" collapsed="false">
      <c r="A88" s="29" t="s">
        <v>587</v>
      </c>
      <c r="B88" s="29" t="s">
        <v>328</v>
      </c>
      <c r="C88" s="29" t="s">
        <v>287</v>
      </c>
      <c r="D88" s="27" t="s">
        <v>23</v>
      </c>
      <c r="E88" s="0" t="s">
        <v>588</v>
      </c>
      <c r="F88" s="29" t="s">
        <v>444</v>
      </c>
    </row>
    <row r="89" customFormat="false" ht="12.8" hidden="false" customHeight="false" outlineLevel="0" collapsed="false">
      <c r="A89" s="29" t="s">
        <v>589</v>
      </c>
      <c r="B89" s="29" t="s">
        <v>328</v>
      </c>
      <c r="C89" s="29" t="s">
        <v>287</v>
      </c>
      <c r="D89" s="27" t="s">
        <v>23</v>
      </c>
      <c r="E89" s="0" t="s">
        <v>590</v>
      </c>
      <c r="F89" s="29" t="s">
        <v>444</v>
      </c>
    </row>
    <row r="90" customFormat="false" ht="12.8" hidden="false" customHeight="false" outlineLevel="0" collapsed="false">
      <c r="A90" s="29" t="s">
        <v>591</v>
      </c>
      <c r="B90" s="29" t="s">
        <v>330</v>
      </c>
      <c r="C90" s="29" t="s">
        <v>287</v>
      </c>
      <c r="D90" s="27" t="s">
        <v>23</v>
      </c>
      <c r="E90" s="0" t="s">
        <v>592</v>
      </c>
      <c r="F90" s="29" t="s">
        <v>444</v>
      </c>
    </row>
    <row r="91" customFormat="false" ht="12.8" hidden="false" customHeight="false" outlineLevel="0" collapsed="false">
      <c r="A91" s="29" t="s">
        <v>593</v>
      </c>
      <c r="B91" s="29" t="s">
        <v>330</v>
      </c>
      <c r="C91" s="29" t="s">
        <v>287</v>
      </c>
      <c r="D91" s="27" t="s">
        <v>23</v>
      </c>
      <c r="E91" s="0" t="s">
        <v>594</v>
      </c>
      <c r="F91" s="29" t="s">
        <v>444</v>
      </c>
    </row>
    <row r="92" customFormat="false" ht="12.8" hidden="false" customHeight="false" outlineLevel="0" collapsed="false">
      <c r="A92" s="29" t="s">
        <v>595</v>
      </c>
      <c r="B92" s="29" t="s">
        <v>331</v>
      </c>
      <c r="C92" s="29" t="s">
        <v>290</v>
      </c>
      <c r="D92" s="27" t="s">
        <v>21</v>
      </c>
      <c r="E92" s="0" t="s">
        <v>596</v>
      </c>
      <c r="F92" s="29" t="s">
        <v>444</v>
      </c>
    </row>
    <row r="93" customFormat="false" ht="12.8" hidden="false" customHeight="false" outlineLevel="0" collapsed="false">
      <c r="A93" s="29" t="s">
        <v>597</v>
      </c>
      <c r="B93" s="29" t="s">
        <v>331</v>
      </c>
      <c r="C93" s="29" t="s">
        <v>290</v>
      </c>
      <c r="D93" s="27" t="s">
        <v>21</v>
      </c>
      <c r="E93" s="0" t="s">
        <v>598</v>
      </c>
      <c r="F93" s="29" t="s">
        <v>444</v>
      </c>
    </row>
    <row r="94" customFormat="false" ht="12.8" hidden="false" customHeight="false" outlineLevel="0" collapsed="false">
      <c r="A94" s="29" t="s">
        <v>599</v>
      </c>
      <c r="B94" s="29" t="s">
        <v>331</v>
      </c>
      <c r="C94" s="29" t="s">
        <v>290</v>
      </c>
      <c r="D94" s="27" t="s">
        <v>21</v>
      </c>
      <c r="E94" s="0" t="s">
        <v>600</v>
      </c>
      <c r="F94" s="29" t="s">
        <v>444</v>
      </c>
    </row>
    <row r="95" customFormat="false" ht="12.8" hidden="false" customHeight="false" outlineLevel="0" collapsed="false">
      <c r="A95" s="29" t="s">
        <v>601</v>
      </c>
      <c r="B95" s="29" t="s">
        <v>331</v>
      </c>
      <c r="C95" s="29" t="s">
        <v>290</v>
      </c>
      <c r="D95" s="27" t="s">
        <v>21</v>
      </c>
      <c r="E95" s="0" t="s">
        <v>602</v>
      </c>
      <c r="F95" s="29" t="s">
        <v>444</v>
      </c>
    </row>
    <row r="96" customFormat="false" ht="12.8" hidden="false" customHeight="false" outlineLevel="0" collapsed="false">
      <c r="A96" s="29" t="s">
        <v>599</v>
      </c>
      <c r="B96" s="29" t="s">
        <v>331</v>
      </c>
      <c r="C96" s="29" t="s">
        <v>290</v>
      </c>
      <c r="D96" s="27" t="s">
        <v>23</v>
      </c>
      <c r="E96" s="0" t="s">
        <v>603</v>
      </c>
      <c r="F96" s="29" t="s">
        <v>444</v>
      </c>
    </row>
    <row r="97" customFormat="false" ht="12.8" hidden="false" customHeight="false" outlineLevel="0" collapsed="false">
      <c r="A97" s="29" t="s">
        <v>597</v>
      </c>
      <c r="B97" s="29" t="s">
        <v>331</v>
      </c>
      <c r="C97" s="29" t="s">
        <v>290</v>
      </c>
      <c r="D97" s="27" t="s">
        <v>23</v>
      </c>
      <c r="E97" s="0" t="s">
        <v>604</v>
      </c>
      <c r="F97" s="29" t="s">
        <v>444</v>
      </c>
    </row>
    <row r="98" customFormat="false" ht="12.8" hidden="false" customHeight="false" outlineLevel="0" collapsed="false">
      <c r="A98" s="29" t="s">
        <v>605</v>
      </c>
      <c r="B98" s="29" t="s">
        <v>333</v>
      </c>
      <c r="C98" s="29" t="s">
        <v>287</v>
      </c>
      <c r="D98" s="27" t="s">
        <v>23</v>
      </c>
      <c r="E98" s="0" t="s">
        <v>606</v>
      </c>
      <c r="F98" s="29" t="s">
        <v>444</v>
      </c>
    </row>
    <row r="99" customFormat="false" ht="12.8" hidden="false" customHeight="false" outlineLevel="0" collapsed="false">
      <c r="A99" s="29" t="s">
        <v>607</v>
      </c>
      <c r="B99" s="29" t="s">
        <v>333</v>
      </c>
      <c r="C99" s="29" t="s">
        <v>287</v>
      </c>
      <c r="D99" s="27" t="s">
        <v>23</v>
      </c>
      <c r="E99" s="0" t="s">
        <v>608</v>
      </c>
      <c r="F99" s="29" t="s">
        <v>444</v>
      </c>
    </row>
    <row r="100" customFormat="false" ht="12.8" hidden="false" customHeight="false" outlineLevel="0" collapsed="false">
      <c r="A100" s="29" t="s">
        <v>609</v>
      </c>
      <c r="B100" s="29" t="s">
        <v>334</v>
      </c>
      <c r="C100" s="29" t="s">
        <v>287</v>
      </c>
      <c r="D100" s="27" t="s">
        <v>23</v>
      </c>
      <c r="E100" s="0" t="s">
        <v>610</v>
      </c>
      <c r="F100" s="29" t="s">
        <v>444</v>
      </c>
    </row>
    <row r="101" customFormat="false" ht="12.8" hidden="false" customHeight="false" outlineLevel="0" collapsed="false">
      <c r="A101" s="29" t="s">
        <v>611</v>
      </c>
      <c r="B101" s="29" t="s">
        <v>334</v>
      </c>
      <c r="C101" s="29" t="s">
        <v>287</v>
      </c>
      <c r="D101" s="27" t="s">
        <v>23</v>
      </c>
      <c r="E101" s="0" t="s">
        <v>612</v>
      </c>
      <c r="F101" s="29" t="s">
        <v>444</v>
      </c>
    </row>
    <row r="102" customFormat="false" ht="12.8" hidden="false" customHeight="false" outlineLevel="0" collapsed="false">
      <c r="A102" s="29" t="s">
        <v>613</v>
      </c>
      <c r="B102" s="29" t="s">
        <v>336</v>
      </c>
      <c r="C102" s="29" t="s">
        <v>290</v>
      </c>
      <c r="D102" s="27" t="s">
        <v>23</v>
      </c>
      <c r="E102" s="0" t="s">
        <v>614</v>
      </c>
      <c r="F102" s="29" t="s">
        <v>444</v>
      </c>
    </row>
    <row r="103" customFormat="false" ht="12.8" hidden="false" customHeight="false" outlineLevel="0" collapsed="false">
      <c r="A103" s="29" t="s">
        <v>615</v>
      </c>
      <c r="B103" s="29" t="s">
        <v>336</v>
      </c>
      <c r="C103" s="29" t="s">
        <v>290</v>
      </c>
      <c r="D103" s="27" t="s">
        <v>23</v>
      </c>
      <c r="E103" s="0" t="s">
        <v>616</v>
      </c>
      <c r="F103" s="29" t="s">
        <v>444</v>
      </c>
    </row>
    <row r="104" customFormat="false" ht="12.8" hidden="false" customHeight="false" outlineLevel="0" collapsed="false">
      <c r="A104" s="29" t="s">
        <v>617</v>
      </c>
      <c r="B104" s="29" t="s">
        <v>336</v>
      </c>
      <c r="C104" s="29" t="s">
        <v>290</v>
      </c>
      <c r="D104" s="27" t="s">
        <v>23</v>
      </c>
      <c r="E104" s="0" t="s">
        <v>618</v>
      </c>
      <c r="F104" s="29" t="s">
        <v>444</v>
      </c>
    </row>
    <row r="105" customFormat="false" ht="12.8" hidden="false" customHeight="false" outlineLevel="0" collapsed="false">
      <c r="A105" s="29" t="s">
        <v>617</v>
      </c>
      <c r="B105" s="29" t="s">
        <v>336</v>
      </c>
      <c r="C105" s="29" t="s">
        <v>290</v>
      </c>
      <c r="D105" s="27" t="s">
        <v>23</v>
      </c>
      <c r="E105" s="0" t="s">
        <v>619</v>
      </c>
      <c r="F105" s="29" t="s">
        <v>444</v>
      </c>
    </row>
    <row r="106" customFormat="false" ht="12.8" hidden="false" customHeight="false" outlineLevel="0" collapsed="false">
      <c r="A106" s="29" t="s">
        <v>615</v>
      </c>
      <c r="B106" s="29" t="s">
        <v>336</v>
      </c>
      <c r="C106" s="29" t="s">
        <v>290</v>
      </c>
      <c r="D106" s="27" t="s">
        <v>23</v>
      </c>
      <c r="E106" s="0" t="s">
        <v>619</v>
      </c>
      <c r="F106" s="29" t="s">
        <v>444</v>
      </c>
    </row>
    <row r="107" customFormat="false" ht="12.8" hidden="false" customHeight="false" outlineLevel="0" collapsed="false">
      <c r="A107" s="29" t="s">
        <v>337</v>
      </c>
      <c r="B107" s="29" t="s">
        <v>338</v>
      </c>
      <c r="C107" s="29" t="s">
        <v>270</v>
      </c>
      <c r="F107" s="29"/>
    </row>
    <row r="108" customFormat="false" ht="12.8" hidden="false" customHeight="false" outlineLevel="0" collapsed="false">
      <c r="A108" s="29" t="s">
        <v>620</v>
      </c>
      <c r="B108" s="29" t="s">
        <v>340</v>
      </c>
      <c r="C108" s="29" t="s">
        <v>270</v>
      </c>
      <c r="F108" s="29"/>
    </row>
    <row r="109" customFormat="false" ht="12.8" hidden="false" customHeight="false" outlineLevel="0" collapsed="false">
      <c r="A109" s="29" t="s">
        <v>621</v>
      </c>
      <c r="B109" s="29" t="s">
        <v>342</v>
      </c>
      <c r="C109" s="29" t="s">
        <v>270</v>
      </c>
      <c r="F109" s="29"/>
    </row>
    <row r="110" customFormat="false" ht="12.8" hidden="false" customHeight="false" outlineLevel="0" collapsed="false">
      <c r="A110" s="29" t="s">
        <v>622</v>
      </c>
      <c r="B110" s="29" t="s">
        <v>344</v>
      </c>
      <c r="C110" s="29" t="s">
        <v>270</v>
      </c>
      <c r="F110" s="29"/>
    </row>
    <row r="111" customFormat="false" ht="12.8" hidden="false" customHeight="false" outlineLevel="0" collapsed="false">
      <c r="A111" s="29" t="s">
        <v>623</v>
      </c>
      <c r="B111" s="29" t="s">
        <v>346</v>
      </c>
      <c r="C111" s="29" t="s">
        <v>270</v>
      </c>
      <c r="F111" s="29"/>
    </row>
    <row r="112" customFormat="false" ht="12.8" hidden="false" customHeight="false" outlineLevel="0" collapsed="false">
      <c r="A112" s="29" t="s">
        <v>347</v>
      </c>
      <c r="B112" s="29" t="s">
        <v>348</v>
      </c>
      <c r="C112" s="29" t="s">
        <v>270</v>
      </c>
      <c r="F112" s="29"/>
    </row>
    <row r="113" customFormat="false" ht="12.8" hidden="false" customHeight="false" outlineLevel="0" collapsed="false">
      <c r="A113" s="29" t="s">
        <v>624</v>
      </c>
      <c r="B113" s="29" t="s">
        <v>349</v>
      </c>
      <c r="C113" s="29" t="s">
        <v>270</v>
      </c>
      <c r="F113" s="29"/>
    </row>
    <row r="114" customFormat="false" ht="12.8" hidden="false" customHeight="false" outlineLevel="0" collapsed="false">
      <c r="A114" s="29" t="s">
        <v>625</v>
      </c>
      <c r="B114" s="29" t="s">
        <v>350</v>
      </c>
      <c r="C114" s="29" t="s">
        <v>270</v>
      </c>
      <c r="F114" s="29"/>
    </row>
    <row r="115" customFormat="false" ht="12.8" hidden="false" customHeight="false" outlineLevel="0" collapsed="false">
      <c r="A115" s="29" t="s">
        <v>351</v>
      </c>
      <c r="B115" s="29" t="s">
        <v>352</v>
      </c>
      <c r="C115" s="29" t="s">
        <v>254</v>
      </c>
      <c r="F115" s="29"/>
    </row>
    <row r="116" customFormat="false" ht="12.8" hidden="false" customHeight="false" outlineLevel="0" collapsed="false">
      <c r="A116" s="29" t="s">
        <v>353</v>
      </c>
      <c r="B116" s="29" t="s">
        <v>354</v>
      </c>
      <c r="C116" s="29" t="s">
        <v>355</v>
      </c>
      <c r="F116" s="29"/>
    </row>
    <row r="117" customFormat="false" ht="12.8" hidden="false" customHeight="false" outlineLevel="0" collapsed="false">
      <c r="A117" s="29" t="s">
        <v>356</v>
      </c>
      <c r="B117" s="29" t="s">
        <v>357</v>
      </c>
      <c r="C117" s="29" t="s">
        <v>355</v>
      </c>
      <c r="F117" s="29"/>
    </row>
    <row r="118" customFormat="false" ht="12.8" hidden="false" customHeight="false" outlineLevel="0" collapsed="false">
      <c r="A118" s="29" t="s">
        <v>358</v>
      </c>
      <c r="B118" s="29" t="s">
        <v>359</v>
      </c>
      <c r="C118" s="29" t="s">
        <v>355</v>
      </c>
      <c r="F118" s="29"/>
    </row>
    <row r="119" customFormat="false" ht="12.8" hidden="false" customHeight="false" outlineLevel="0" collapsed="false">
      <c r="A119" s="29" t="s">
        <v>626</v>
      </c>
      <c r="B119" s="29" t="s">
        <v>361</v>
      </c>
      <c r="C119" s="29" t="s">
        <v>355</v>
      </c>
      <c r="F119" s="29"/>
    </row>
    <row r="120" customFormat="false" ht="12.8" hidden="false" customHeight="false" outlineLevel="0" collapsed="false">
      <c r="A120" s="29" t="s">
        <v>203</v>
      </c>
      <c r="B120" s="29" t="s">
        <v>362</v>
      </c>
      <c r="C120" s="29" t="s">
        <v>363</v>
      </c>
      <c r="F120" s="29"/>
    </row>
    <row r="121" customFormat="false" ht="12.8" hidden="false" customHeight="false" outlineLevel="0" collapsed="false">
      <c r="A121" s="29" t="s">
        <v>364</v>
      </c>
      <c r="B121" s="29" t="s">
        <v>365</v>
      </c>
      <c r="C121" s="29" t="s">
        <v>363</v>
      </c>
      <c r="F121" s="29"/>
    </row>
    <row r="122" customFormat="false" ht="12.8" hidden="false" customHeight="false" outlineLevel="0" collapsed="false">
      <c r="A122" s="29" t="s">
        <v>24</v>
      </c>
      <c r="B122" s="29" t="s">
        <v>366</v>
      </c>
      <c r="C122" s="29" t="s">
        <v>363</v>
      </c>
      <c r="F122" s="29"/>
    </row>
    <row r="123" customFormat="false" ht="12.8" hidden="false" customHeight="false" outlineLevel="0" collapsed="false">
      <c r="A123" s="29" t="s">
        <v>367</v>
      </c>
      <c r="B123" s="29" t="s">
        <v>368</v>
      </c>
      <c r="C123" s="29" t="s">
        <v>363</v>
      </c>
      <c r="F123" s="29"/>
    </row>
    <row r="124" customFormat="false" ht="12.8" hidden="false" customHeight="false" outlineLevel="0" collapsed="false">
      <c r="A124" s="29" t="s">
        <v>202</v>
      </c>
      <c r="B124" s="29" t="s">
        <v>369</v>
      </c>
      <c r="C124" s="29" t="s">
        <v>363</v>
      </c>
      <c r="F124" s="29"/>
    </row>
    <row r="125" customFormat="false" ht="12.8" hidden="false" customHeight="false" outlineLevel="0" collapsed="false">
      <c r="A125" s="29" t="s">
        <v>370</v>
      </c>
      <c r="B125" s="29" t="s">
        <v>371</v>
      </c>
      <c r="C125" s="29" t="s">
        <v>355</v>
      </c>
      <c r="F125" s="29"/>
    </row>
    <row r="126" customFormat="false" ht="12.8" hidden="false" customHeight="false" outlineLevel="0" collapsed="false">
      <c r="A126" s="29" t="s">
        <v>372</v>
      </c>
      <c r="B126" s="29" t="s">
        <v>373</v>
      </c>
      <c r="C126" s="29" t="s">
        <v>355</v>
      </c>
      <c r="F126" s="29"/>
    </row>
    <row r="127" customFormat="false" ht="12.8" hidden="false" customHeight="false" outlineLevel="0" collapsed="false">
      <c r="A127" s="29" t="s">
        <v>374</v>
      </c>
      <c r="B127" s="29" t="s">
        <v>375</v>
      </c>
      <c r="C127" s="29" t="s">
        <v>355</v>
      </c>
      <c r="F127" s="29"/>
    </row>
    <row r="128" customFormat="false" ht="12.8" hidden="false" customHeight="false" outlineLevel="0" collapsed="false">
      <c r="A128" s="29" t="s">
        <v>376</v>
      </c>
      <c r="B128" s="29" t="s">
        <v>377</v>
      </c>
      <c r="C128" s="29" t="s">
        <v>287</v>
      </c>
      <c r="F128" s="29"/>
    </row>
    <row r="129" customFormat="false" ht="12.8" hidden="false" customHeight="false" outlineLevel="0" collapsed="false">
      <c r="A129" s="29" t="s">
        <v>378</v>
      </c>
      <c r="B129" s="29" t="s">
        <v>379</v>
      </c>
      <c r="C129" s="29" t="s">
        <v>290</v>
      </c>
      <c r="F129" s="29"/>
    </row>
    <row r="130" customFormat="false" ht="12.8" hidden="false" customHeight="false" outlineLevel="0" collapsed="false">
      <c r="A130" s="29" t="s">
        <v>380</v>
      </c>
      <c r="B130" s="29" t="s">
        <v>381</v>
      </c>
      <c r="C130" s="29" t="s">
        <v>270</v>
      </c>
      <c r="F130" s="29"/>
    </row>
    <row r="131" customFormat="false" ht="12.8" hidden="false" customHeight="false" outlineLevel="0" collapsed="false">
      <c r="A131" s="29" t="s">
        <v>382</v>
      </c>
      <c r="B131" s="29" t="s">
        <v>383</v>
      </c>
      <c r="C131" s="29" t="s">
        <v>270</v>
      </c>
      <c r="F131" s="29"/>
    </row>
    <row r="132" customFormat="false" ht="12.8" hidden="false" customHeight="false" outlineLevel="0" collapsed="false">
      <c r="A132" s="29" t="s">
        <v>384</v>
      </c>
      <c r="B132" s="29" t="s">
        <v>385</v>
      </c>
      <c r="C132" s="29" t="s">
        <v>290</v>
      </c>
      <c r="F132" s="29"/>
    </row>
    <row r="133" customFormat="false" ht="12.8" hidden="false" customHeight="false" outlineLevel="0" collapsed="false">
      <c r="A133" s="29" t="s">
        <v>627</v>
      </c>
      <c r="B133" s="29" t="s">
        <v>386</v>
      </c>
      <c r="C133" s="29" t="s">
        <v>290</v>
      </c>
      <c r="F133" s="29"/>
    </row>
    <row r="134" customFormat="false" ht="12.8" hidden="false" customHeight="false" outlineLevel="0" collapsed="false">
      <c r="A134" s="29" t="s">
        <v>628</v>
      </c>
      <c r="B134" s="29" t="s">
        <v>387</v>
      </c>
      <c r="C134" s="29" t="s">
        <v>290</v>
      </c>
      <c r="F134" s="29"/>
    </row>
    <row r="135" customFormat="false" ht="12.8" hidden="false" customHeight="false" outlineLevel="0" collapsed="false">
      <c r="A135" s="29" t="s">
        <v>629</v>
      </c>
      <c r="B135" s="29" t="s">
        <v>388</v>
      </c>
      <c r="C135" s="29" t="s">
        <v>290</v>
      </c>
      <c r="F135" s="29"/>
    </row>
    <row r="136" customFormat="false" ht="12.8" hidden="false" customHeight="false" outlineLevel="0" collapsed="false">
      <c r="A136" s="29" t="s">
        <v>389</v>
      </c>
      <c r="B136" s="29" t="s">
        <v>390</v>
      </c>
      <c r="C136" s="29" t="s">
        <v>287</v>
      </c>
      <c r="F136" s="29"/>
    </row>
    <row r="137" customFormat="false" ht="12.8" hidden="false" customHeight="false" outlineLevel="0" collapsed="false">
      <c r="A137" s="29" t="s">
        <v>391</v>
      </c>
      <c r="B137" s="29" t="s">
        <v>392</v>
      </c>
      <c r="C137" s="29" t="s">
        <v>287</v>
      </c>
      <c r="F137" s="29"/>
    </row>
    <row r="138" customFormat="false" ht="12.8" hidden="false" customHeight="false" outlineLevel="0" collapsed="false">
      <c r="A138" s="29" t="s">
        <v>393</v>
      </c>
      <c r="B138" s="29" t="s">
        <v>394</v>
      </c>
      <c r="C138" s="29" t="s">
        <v>287</v>
      </c>
      <c r="F138" s="29"/>
    </row>
    <row r="139" customFormat="false" ht="12.8" hidden="false" customHeight="false" outlineLevel="0" collapsed="false">
      <c r="A139" s="29" t="s">
        <v>395</v>
      </c>
      <c r="B139" s="29" t="s">
        <v>396</v>
      </c>
      <c r="C139" s="29" t="s">
        <v>287</v>
      </c>
      <c r="F139" s="29"/>
    </row>
    <row r="140" customFormat="false" ht="12.8" hidden="false" customHeight="false" outlineLevel="0" collapsed="false">
      <c r="A140" s="29" t="s">
        <v>630</v>
      </c>
      <c r="B140" s="29" t="s">
        <v>397</v>
      </c>
      <c r="C140" s="29" t="s">
        <v>290</v>
      </c>
      <c r="F140" s="29"/>
    </row>
    <row r="141" customFormat="false" ht="12.8" hidden="false" customHeight="false" outlineLevel="0" collapsed="false">
      <c r="A141" s="29" t="s">
        <v>631</v>
      </c>
      <c r="B141" s="29" t="s">
        <v>398</v>
      </c>
      <c r="C141" s="29" t="s">
        <v>287</v>
      </c>
      <c r="F141" s="29"/>
    </row>
    <row r="142" customFormat="false" ht="12.8" hidden="false" customHeight="false" outlineLevel="0" collapsed="false">
      <c r="A142" s="29" t="s">
        <v>632</v>
      </c>
      <c r="B142" s="29" t="s">
        <v>400</v>
      </c>
      <c r="C142" s="29" t="s">
        <v>287</v>
      </c>
      <c r="F142" s="29"/>
    </row>
    <row r="143" customFormat="false" ht="12.8" hidden="false" customHeight="false" outlineLevel="0" collapsed="false">
      <c r="A143" s="29" t="s">
        <v>633</v>
      </c>
      <c r="B143" s="29" t="s">
        <v>402</v>
      </c>
      <c r="C143" s="29" t="s">
        <v>270</v>
      </c>
      <c r="F143" s="29"/>
    </row>
    <row r="144" customFormat="false" ht="12.8" hidden="false" customHeight="false" outlineLevel="0" collapsed="false">
      <c r="A144" s="29" t="s">
        <v>634</v>
      </c>
      <c r="B144" s="29" t="s">
        <v>404</v>
      </c>
      <c r="C144" s="29" t="s">
        <v>290</v>
      </c>
      <c r="F144" s="29"/>
    </row>
    <row r="145" customFormat="false" ht="12.8" hidden="false" customHeight="false" outlineLevel="0" collapsed="false">
      <c r="A145" s="29" t="s">
        <v>635</v>
      </c>
      <c r="B145" s="29" t="s">
        <v>406</v>
      </c>
      <c r="C145" s="29" t="s">
        <v>287</v>
      </c>
      <c r="F145" s="29"/>
    </row>
    <row r="146" customFormat="false" ht="12.8" hidden="false" customHeight="false" outlineLevel="0" collapsed="false">
      <c r="A146" s="29" t="s">
        <v>636</v>
      </c>
      <c r="B146" s="29" t="s">
        <v>407</v>
      </c>
      <c r="C146" s="29" t="s">
        <v>290</v>
      </c>
      <c r="F146" s="29"/>
    </row>
    <row r="147" customFormat="false" ht="12.8" hidden="false" customHeight="false" outlineLevel="0" collapsed="false">
      <c r="A147" s="29" t="s">
        <v>408</v>
      </c>
      <c r="B147" s="29" t="s">
        <v>409</v>
      </c>
      <c r="C147" s="29" t="s">
        <v>270</v>
      </c>
      <c r="F147" s="29"/>
    </row>
    <row r="148" customFormat="false" ht="12.8" hidden="false" customHeight="false" outlineLevel="0" collapsed="false">
      <c r="A148" s="29" t="s">
        <v>410</v>
      </c>
      <c r="B148" s="29" t="s">
        <v>411</v>
      </c>
      <c r="C148" s="29" t="s">
        <v>287</v>
      </c>
      <c r="F148" s="29"/>
    </row>
    <row r="149" customFormat="false" ht="12.8" hidden="false" customHeight="false" outlineLevel="0" collapsed="false">
      <c r="A149" s="29" t="s">
        <v>412</v>
      </c>
      <c r="B149" s="29" t="s">
        <v>413</v>
      </c>
      <c r="C149" s="29" t="s">
        <v>290</v>
      </c>
      <c r="F149" s="29"/>
    </row>
    <row r="150" customFormat="false" ht="12.8" hidden="false" customHeight="false" outlineLevel="0" collapsed="false">
      <c r="A150" s="29" t="s">
        <v>414</v>
      </c>
      <c r="B150" s="29" t="s">
        <v>415</v>
      </c>
      <c r="C150" s="29" t="s">
        <v>355</v>
      </c>
      <c r="F150" s="29"/>
    </row>
    <row r="151" customFormat="false" ht="12.8" hidden="false" customHeight="false" outlineLevel="0" collapsed="false">
      <c r="A151" s="29" t="s">
        <v>416</v>
      </c>
      <c r="B151" s="29" t="s">
        <v>416</v>
      </c>
      <c r="C151" s="29" t="s">
        <v>276</v>
      </c>
      <c r="F151" s="29"/>
    </row>
    <row r="152" customFormat="false" ht="12.8" hidden="false" customHeight="false" outlineLevel="0" collapsed="false">
      <c r="A152" s="29" t="s">
        <v>417</v>
      </c>
      <c r="B152" s="29" t="s">
        <v>418</v>
      </c>
      <c r="C152" s="29" t="s">
        <v>287</v>
      </c>
      <c r="F152" s="29"/>
    </row>
    <row r="153" customFormat="false" ht="12.8" hidden="false" customHeight="false" outlineLevel="0" collapsed="false">
      <c r="A153" s="29" t="s">
        <v>419</v>
      </c>
      <c r="B153" s="29" t="s">
        <v>420</v>
      </c>
      <c r="C153" s="29" t="s">
        <v>270</v>
      </c>
      <c r="F153" s="29"/>
    </row>
    <row r="154" customFormat="false" ht="12.8" hidden="false" customHeight="false" outlineLevel="0" collapsed="false">
      <c r="A154" s="29" t="s">
        <v>637</v>
      </c>
      <c r="B154" s="29" t="s">
        <v>421</v>
      </c>
      <c r="C154" s="29" t="s">
        <v>287</v>
      </c>
      <c r="F154" s="29"/>
    </row>
    <row r="155" customFormat="false" ht="12.8" hidden="false" customHeight="false" outlineLevel="0" collapsed="false">
      <c r="A155" s="29" t="s">
        <v>638</v>
      </c>
      <c r="B155" s="29" t="s">
        <v>423</v>
      </c>
      <c r="C155" s="29" t="s">
        <v>290</v>
      </c>
      <c r="F155" s="29"/>
    </row>
    <row r="156" customFormat="false" ht="12.8" hidden="false" customHeight="false" outlineLevel="0" collapsed="false">
      <c r="A156" s="29" t="s">
        <v>424</v>
      </c>
      <c r="B156" s="29" t="s">
        <v>425</v>
      </c>
      <c r="C156" s="29" t="s">
        <v>254</v>
      </c>
      <c r="F156" s="29"/>
    </row>
    <row r="157" customFormat="false" ht="12.8" hidden="false" customHeight="false" outlineLevel="0" collapsed="false">
      <c r="A157" s="29" t="s">
        <v>639</v>
      </c>
      <c r="B157" s="29" t="s">
        <v>426</v>
      </c>
      <c r="C157" s="29" t="s">
        <v>290</v>
      </c>
      <c r="F157" s="29"/>
    </row>
    <row r="158" customFormat="false" ht="12.8" hidden="false" customHeight="false" outlineLevel="0" collapsed="false">
      <c r="A158" s="29" t="s">
        <v>640</v>
      </c>
      <c r="B158" s="29" t="s">
        <v>427</v>
      </c>
      <c r="C158" s="29" t="s">
        <v>290</v>
      </c>
      <c r="F158" s="29"/>
    </row>
    <row r="159" customFormat="false" ht="12.8" hidden="false" customHeight="false" outlineLevel="0" collapsed="false">
      <c r="A159" s="29" t="s">
        <v>641</v>
      </c>
      <c r="B159" s="29" t="s">
        <v>428</v>
      </c>
      <c r="C159" s="29" t="s">
        <v>290</v>
      </c>
      <c r="F159" s="29"/>
    </row>
    <row r="160" customFormat="false" ht="12.8" hidden="false" customHeight="false" outlineLevel="0" collapsed="false">
      <c r="A160" s="29" t="s">
        <v>642</v>
      </c>
      <c r="B160" s="29" t="s">
        <v>430</v>
      </c>
      <c r="C160" s="29" t="s">
        <v>290</v>
      </c>
      <c r="F160" s="29"/>
    </row>
    <row r="161" customFormat="false" ht="12.8" hidden="false" customHeight="false" outlineLevel="0" collapsed="false">
      <c r="A161" s="29" t="s">
        <v>244</v>
      </c>
      <c r="B161" s="29" t="s">
        <v>431</v>
      </c>
      <c r="C161" s="29" t="s">
        <v>287</v>
      </c>
      <c r="F161" s="29"/>
    </row>
    <row r="162" customFormat="false" ht="12.8" hidden="false" customHeight="false" outlineLevel="0" collapsed="false">
      <c r="A162" s="29" t="s">
        <v>643</v>
      </c>
      <c r="B162" s="29" t="s">
        <v>432</v>
      </c>
      <c r="C162" s="29" t="s">
        <v>290</v>
      </c>
      <c r="F162" s="29"/>
    </row>
    <row r="163" customFormat="false" ht="12.8" hidden="false" customHeight="false" outlineLevel="0" collapsed="false">
      <c r="A163" s="29" t="s">
        <v>644</v>
      </c>
      <c r="B163" s="29" t="s">
        <v>433</v>
      </c>
      <c r="C163" s="29" t="s">
        <v>254</v>
      </c>
      <c r="F163" s="29"/>
    </row>
    <row r="164" customFormat="false" ht="12.8" hidden="false" customHeight="false" outlineLevel="0" collapsed="false">
      <c r="A164" s="29" t="s">
        <v>176</v>
      </c>
      <c r="B164" s="29" t="s">
        <v>434</v>
      </c>
      <c r="C164" s="29" t="s">
        <v>254</v>
      </c>
      <c r="F164" s="29"/>
    </row>
    <row r="165" customFormat="false" ht="12.8" hidden="false" customHeight="false" outlineLevel="0" collapsed="false">
      <c r="A165" s="29" t="s">
        <v>645</v>
      </c>
      <c r="B165" s="29" t="s">
        <v>435</v>
      </c>
      <c r="C165" s="29" t="s">
        <v>254</v>
      </c>
      <c r="F165" s="29"/>
    </row>
    <row r="166" customFormat="false" ht="12.8" hidden="false" customHeight="false" outlineLevel="0" collapsed="false">
      <c r="A166" s="29" t="s">
        <v>245</v>
      </c>
      <c r="B166" s="29" t="s">
        <v>436</v>
      </c>
      <c r="C166" s="29" t="s">
        <v>287</v>
      </c>
      <c r="F166" s="29"/>
    </row>
    <row r="167" customFormat="false" ht="12.8" hidden="false" customHeight="false" outlineLevel="0" collapsed="false">
      <c r="A167" s="29" t="s">
        <v>225</v>
      </c>
      <c r="B167" s="29" t="s">
        <v>437</v>
      </c>
      <c r="C167" s="29" t="s">
        <v>270</v>
      </c>
      <c r="F167" s="29"/>
    </row>
    <row r="168" customFormat="false" ht="12.8" hidden="false" customHeight="false" outlineLevel="0" collapsed="false">
      <c r="A168" s="29" t="s">
        <v>438</v>
      </c>
      <c r="B168" s="29" t="s">
        <v>439</v>
      </c>
      <c r="C168" s="29" t="s">
        <v>287</v>
      </c>
      <c r="F168" s="2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Roman,Normal"&amp;12Sida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13396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2025-11-07T23:00:07Z</dcterms:created>
  <dc:creator/>
  <dc:description/>
  <dc:language>sv-SE</dc:language>
  <cp:lastModifiedBy/>
  <dcterms:modified xsi:type="dcterms:W3CDTF">2025-11-23T23:01:11Z</dcterms:modified>
  <cp:revision>99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