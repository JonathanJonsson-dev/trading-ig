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" sheetId="1" state="visible" r:id="rId3"/>
    <sheet name="Old" sheetId="2" state="visible" r:id="rId4"/>
    <sheet name="IG marknader" sheetId="3" state="visible" r:id="rId5"/>
    <sheet name="Norgate tickers" sheetId="4" state="visible" r:id="rId6"/>
    <sheet name="Norgate tickers old" sheetId="5" state="visible" r:id="rId7"/>
  </sheet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<sst xmlns="http://schemas.openxmlformats.org/spreadsheetml/2006/main" count="1497" uniqueCount="677">
  <si>
    <t xml:space="preserve">if you do 2 seperate trades use 2 here. For spread trades use 1 here. </t>
  </si>
  <si>
    <t xml:space="preserve">For starter system, 5.4</t>
  </si>
  <si>
    <t xml:space="preserve">For starter system, 12%</t>
  </si>
  <si>
    <t xml:space="preserve">Minimum 1,25 million usd per day</t>
  </si>
  <si>
    <t xml:space="preserve">Namn</t>
  </si>
  <si>
    <t xml:space="preserve">Product</t>
  </si>
  <si>
    <t xml:space="preserve">Asset class</t>
  </si>
  <si>
    <t xml:space="preserve">Futures multiplier (value per price point) </t>
  </si>
  <si>
    <t xml:space="preserve">Commission per contract </t>
  </si>
  <si>
    <t xml:space="preserve">Price bid </t>
  </si>
  <si>
    <t xml:space="preserve">Price offer </t>
  </si>
  <si>
    <t xml:space="preserve">Spread in price units </t>
  </si>
  <si>
    <t xml:space="preserve">Transaction cost per contract (TC_ccy) </t>
  </si>
  <si>
    <t xml:space="preserve">Transaction cost % exposure (TC_ratio)</t>
  </si>
  <si>
    <t xml:space="preserve">Instrument risk (% per year)</t>
  </si>
  <si>
    <t xml:space="preserve">Vol normalised transaction cost (TC_risk)</t>
  </si>
  <si>
    <t xml:space="preserve">Number of rolls per year</t>
  </si>
  <si>
    <t xml:space="preserve">Multiplier for trade costs </t>
  </si>
  <si>
    <t xml:space="preserve">Holding cost as % exposure (HC_ratio)</t>
  </si>
  <si>
    <t xml:space="preserve">Vol normalised holding cost (HC_risk)</t>
  </si>
  <si>
    <t xml:space="preserve">Trades per year</t>
  </si>
  <si>
    <t xml:space="preserve">Total vol normalised costs</t>
  </si>
  <si>
    <t xml:space="preserve">FX rate</t>
  </si>
  <si>
    <t xml:space="preserve">Minimum exposure (1 contract)</t>
  </si>
  <si>
    <t xml:space="preserve">Target risk</t>
  </si>
  <si>
    <t xml:space="preserve">Minimum capital 1 contract</t>
  </si>
  <si>
    <t xml:space="preserve">Min contract size</t>
  </si>
  <si>
    <t xml:space="preserve">Minimum Capital 4 contracts</t>
  </si>
  <si>
    <t xml:space="preserve">Margin </t>
  </si>
  <si>
    <t xml:space="preserve">IG markets margin requirement</t>
  </si>
  <si>
    <t xml:space="preserve">Average daily volume</t>
  </si>
  <si>
    <t xml:space="preserve">Average daily volume in million USD risk</t>
  </si>
  <si>
    <t xml:space="preserve">USA500</t>
  </si>
  <si>
    <t xml:space="preserve">Cash</t>
  </si>
  <si>
    <t xml:space="preserve">Equity Index</t>
  </si>
  <si>
    <t xml:space="preserve">Future</t>
  </si>
  <si>
    <t xml:space="preserve">Gold</t>
  </si>
  <si>
    <t xml:space="preserve">Commodities</t>
  </si>
  <si>
    <t xml:space="preserve">Volatility index</t>
  </si>
  <si>
    <t xml:space="preserve">Volatility</t>
  </si>
  <si>
    <t xml:space="preserve">Kapital i portfölj</t>
  </si>
  <si>
    <t xml:space="preserve">VIX</t>
  </si>
  <si>
    <t xml:space="preserve">US Treasury Bond</t>
  </si>
  <si>
    <t xml:space="preserve">Bonds</t>
  </si>
  <si>
    <t xml:space="preserve">EUR/USD</t>
  </si>
  <si>
    <t xml:space="preserve">Spot</t>
  </si>
  <si>
    <t xml:space="preserve">FX</t>
  </si>
  <si>
    <t xml:space="preserve">Spot mini</t>
  </si>
  <si>
    <t xml:space="preserve">Bitcoin</t>
  </si>
  <si>
    <t xml:space="preserve">Crypto</t>
  </si>
  <si>
    <t xml:space="preserve">Bitcoin Cash</t>
  </si>
  <si>
    <t xml:space="preserve">Bitcoin Cash/Bitcoin</t>
  </si>
  <si>
    <t xml:space="preserve">Short-Term Interest Rate </t>
  </si>
  <si>
    <t xml:space="preserve">Minimum contract</t>
  </si>
  <si>
    <t xml:space="preserve">Current Price</t>
  </si>
  <si>
    <t xml:space="preserve">Multiplier</t>
  </si>
  <si>
    <t xml:space="preserve">Minimum Exposure</t>
  </si>
  <si>
    <t xml:space="preserve">Instrument risk</t>
  </si>
  <si>
    <t xml:space="preserve">Minimum Capital</t>
  </si>
  <si>
    <t xml:space="preserve">Minimum margin 4 contracts using IG markets margin requirement</t>
  </si>
  <si>
    <t xml:space="preserve">Sälj</t>
  </si>
  <si>
    <t xml:space="preserve">Köp</t>
  </si>
  <si>
    <t xml:space="preserve">Spread</t>
  </si>
  <si>
    <t xml:space="preserve">Spread cost</t>
  </si>
  <si>
    <t xml:space="preserve">Required leverage factor</t>
  </si>
  <si>
    <t xml:space="preserve">Holding cost</t>
  </si>
  <si>
    <t xml:space="preserve">Transaction cost</t>
  </si>
  <si>
    <t xml:space="preserve">Risk Adjusted Cost</t>
  </si>
  <si>
    <t xml:space="preserve">USA Tech100</t>
  </si>
  <si>
    <t xml:space="preserve">Tyskland 40</t>
  </si>
  <si>
    <t xml:space="preserve">Sverige30</t>
  </si>
  <si>
    <t xml:space="preserve">Wall Street</t>
  </si>
  <si>
    <t xml:space="preserve">Japan 225</t>
  </si>
  <si>
    <t xml:space="preserve">FTSE 100</t>
  </si>
  <si>
    <t xml:space="preserve">USA Russell 2000</t>
  </si>
  <si>
    <t xml:space="preserve">Frankrike40</t>
  </si>
  <si>
    <t xml:space="preserve">Hong Kong HS50</t>
  </si>
  <si>
    <t xml:space="preserve">AI Index</t>
  </si>
  <si>
    <t xml:space="preserve">EU Volatility Index</t>
  </si>
  <si>
    <t xml:space="preserve">Volatilitetsindex</t>
  </si>
  <si>
    <t xml:space="preserve">Taiwan Index</t>
  </si>
  <si>
    <t xml:space="preserve">EU Stocks50</t>
  </si>
  <si>
    <t xml:space="preserve">Hong Kong Tech Index</t>
  </si>
  <si>
    <t xml:space="preserve">Italien40</t>
  </si>
  <si>
    <t xml:space="preserve">Euro Stoxx Banks Index</t>
  </si>
  <si>
    <t xml:space="preserve">Australien200</t>
  </si>
  <si>
    <t xml:space="preserve">Nederländerna25</t>
  </si>
  <si>
    <t xml:space="preserve">Sydafrika40</t>
  </si>
  <si>
    <t xml:space="preserve">US Fang</t>
  </si>
  <si>
    <t xml:space="preserve">European Defence Index</t>
  </si>
  <si>
    <t xml:space="preserve">Spain 35</t>
  </si>
  <si>
    <t xml:space="preserve">Kina A50</t>
  </si>
  <si>
    <t xml:space="preserve">Switzerland Blue Chip</t>
  </si>
  <si>
    <t xml:space="preserve">Emerging Markets Index</t>
  </si>
  <si>
    <t xml:space="preserve">Norway 20</t>
  </si>
  <si>
    <t xml:space="preserve">Tokyo First Section</t>
  </si>
  <si>
    <t xml:space="preserve">Singapore Blue Chip</t>
  </si>
  <si>
    <t xml:space="preserve">Norway 25</t>
  </si>
  <si>
    <t xml:space="preserve">Australia 200 Energy</t>
  </si>
  <si>
    <t xml:space="preserve">Australia 200 Utilities</t>
  </si>
  <si>
    <t xml:space="preserve">Cannabis Index</t>
  </si>
  <si>
    <t xml:space="preserve">China H-shares</t>
  </si>
  <si>
    <t xml:space="preserve">EU Stocks 600</t>
  </si>
  <si>
    <t xml:space="preserve">FTSE 350 Banks</t>
  </si>
  <si>
    <t xml:space="preserve">FTSE 350 Chemicals</t>
  </si>
  <si>
    <t xml:space="preserve">FTSE 350 Equity Investment Instruments</t>
  </si>
  <si>
    <t xml:space="preserve">FTSE 350 Food and Drug Retailers</t>
  </si>
  <si>
    <t xml:space="preserve">FTSE 350 Mining</t>
  </si>
  <si>
    <t xml:space="preserve">FTSE 350 Oil and Gas Producers</t>
  </si>
  <si>
    <t xml:space="preserve">FTSE 350 Real Estate Investment Trusts</t>
  </si>
  <si>
    <t xml:space="preserve">FTSE 350 Travel and Leisure</t>
  </si>
  <si>
    <t xml:space="preserve">FTSE Mid 250</t>
  </si>
  <si>
    <t xml:space="preserve">Tyskland Mid-Cap50</t>
  </si>
  <si>
    <t xml:space="preserve">Tyskland Tech30</t>
  </si>
  <si>
    <t xml:space="preserve">USD/JPY</t>
  </si>
  <si>
    <t xml:space="preserve">GBP/USD</t>
  </si>
  <si>
    <t xml:space="preserve">AUD/USD</t>
  </si>
  <si>
    <t xml:space="preserve">EUR/CHF</t>
  </si>
  <si>
    <t xml:space="preserve">EUR/GBP</t>
  </si>
  <si>
    <t xml:space="preserve">EUR/JPY</t>
  </si>
  <si>
    <t xml:space="preserve">USD/CAD</t>
  </si>
  <si>
    <t xml:space="preserve">USD/CHF</t>
  </si>
  <si>
    <t xml:space="preserve">US Dollarkorg</t>
  </si>
  <si>
    <t xml:space="preserve">GBP/EUR</t>
  </si>
  <si>
    <t xml:space="preserve">GBP/JPY</t>
  </si>
  <si>
    <t xml:space="preserve">GBP/CHF</t>
  </si>
  <si>
    <t xml:space="preserve">CHF/JPY</t>
  </si>
  <si>
    <t xml:space="preserve">GBP/CAD</t>
  </si>
  <si>
    <t xml:space="preserve">EUR/CAD</t>
  </si>
  <si>
    <t xml:space="preserve">CAD/CHF</t>
  </si>
  <si>
    <t xml:space="preserve">GBP/SGD</t>
  </si>
  <si>
    <t xml:space="preserve">CAD/JPY</t>
  </si>
  <si>
    <t xml:space="preserve">EUR/SGD</t>
  </si>
  <si>
    <t xml:space="preserve">EUR/ZAR</t>
  </si>
  <si>
    <t xml:space="preserve">GBP/ZAR</t>
  </si>
  <si>
    <t xml:space="preserve">INR/JPY</t>
  </si>
  <si>
    <t xml:space="preserve">SGD/JPY</t>
  </si>
  <si>
    <t xml:space="preserve">USD/HKD</t>
  </si>
  <si>
    <t xml:space="preserve">USD/SGD</t>
  </si>
  <si>
    <t xml:space="preserve">USD/ZAR</t>
  </si>
  <si>
    <t xml:space="preserve">ZAR/JPY</t>
  </si>
  <si>
    <t xml:space="preserve">GBP/AUD</t>
  </si>
  <si>
    <t xml:space="preserve">AUD/CHF</t>
  </si>
  <si>
    <t xml:space="preserve">EUR/AUD</t>
  </si>
  <si>
    <t xml:space="preserve">AUD/JPY</t>
  </si>
  <si>
    <t xml:space="preserve">AUD/NZD</t>
  </si>
  <si>
    <t xml:space="preserve">NZD/USD</t>
  </si>
  <si>
    <t xml:space="preserve">EUR/NZD</t>
  </si>
  <si>
    <t xml:space="preserve">NZD/CHF</t>
  </si>
  <si>
    <t xml:space="preserve">NZD/CAD</t>
  </si>
  <si>
    <t xml:space="preserve">NZD/JPY</t>
  </si>
  <si>
    <t xml:space="preserve">AUD/CAD</t>
  </si>
  <si>
    <t xml:space="preserve">GBP/NZD</t>
  </si>
  <si>
    <t xml:space="preserve">AUD/EUR</t>
  </si>
  <si>
    <t xml:space="preserve">AUD/GBP</t>
  </si>
  <si>
    <t xml:space="preserve">AUD/SGD</t>
  </si>
  <si>
    <t xml:space="preserve">NZD/AUD</t>
  </si>
  <si>
    <t xml:space="preserve">NZD/EUR</t>
  </si>
  <si>
    <t xml:space="preserve">NZD/GBP</t>
  </si>
  <si>
    <t xml:space="preserve">EUR/SEK</t>
  </si>
  <si>
    <t xml:space="preserve">USD/SEK</t>
  </si>
  <si>
    <t xml:space="preserve">SEK/JPY</t>
  </si>
  <si>
    <t xml:space="preserve">USD/NOK</t>
  </si>
  <si>
    <t xml:space="preserve">NOK/SEK</t>
  </si>
  <si>
    <t xml:space="preserve">NOK/JPY</t>
  </si>
  <si>
    <t xml:space="preserve">GBP/SEK</t>
  </si>
  <si>
    <t xml:space="preserve">GBP/DKK</t>
  </si>
  <si>
    <t xml:space="preserve">CAD/NOK</t>
  </si>
  <si>
    <t xml:space="preserve">CHF/NOK</t>
  </si>
  <si>
    <t xml:space="preserve">EUR/DKK</t>
  </si>
  <si>
    <t xml:space="preserve">EUR/NOK</t>
  </si>
  <si>
    <t xml:space="preserve">GBP/NOK</t>
  </si>
  <si>
    <t xml:space="preserve">USD/DKK</t>
  </si>
  <si>
    <t xml:space="preserve">MXN/JPY</t>
  </si>
  <si>
    <t xml:space="preserve">EUR/PLN</t>
  </si>
  <si>
    <t xml:space="preserve">TRY/JPY</t>
  </si>
  <si>
    <t xml:space="preserve">CHF/HUF</t>
  </si>
  <si>
    <t xml:space="preserve">EUR/CZK</t>
  </si>
  <si>
    <t xml:space="preserve">EUR/HUF</t>
  </si>
  <si>
    <t xml:space="preserve">EUR/ILS</t>
  </si>
  <si>
    <t xml:space="preserve">EUR/MXN</t>
  </si>
  <si>
    <t xml:space="preserve">EUR/TRY</t>
  </si>
  <si>
    <t xml:space="preserve">GBP/CZK</t>
  </si>
  <si>
    <t xml:space="preserve">GBP/HUF</t>
  </si>
  <si>
    <t xml:space="preserve">GBP/ILS</t>
  </si>
  <si>
    <t xml:space="preserve">GBP/MXN</t>
  </si>
  <si>
    <t xml:space="preserve">GBP/PLN</t>
  </si>
  <si>
    <t xml:space="preserve">GBP/TRY</t>
  </si>
  <si>
    <t xml:space="preserve">PLN/JPY</t>
  </si>
  <si>
    <t xml:space="preserve">USD/CZK</t>
  </si>
  <si>
    <t xml:space="preserve">USD/HUF</t>
  </si>
  <si>
    <t xml:space="preserve">USD/ILS</t>
  </si>
  <si>
    <t xml:space="preserve">USD/MXN</t>
  </si>
  <si>
    <t xml:space="preserve">USD/PLN</t>
  </si>
  <si>
    <t xml:space="preserve">USD/TRY</t>
  </si>
  <si>
    <t xml:space="preserve">CAD/CNH</t>
  </si>
  <si>
    <t xml:space="preserve">NZD/CNH</t>
  </si>
  <si>
    <t xml:space="preserve">AUD/CNH</t>
  </si>
  <si>
    <t xml:space="preserve">BRL/JPY</t>
  </si>
  <si>
    <t xml:space="preserve">CNH/JPY</t>
  </si>
  <si>
    <t xml:space="preserve">EUR/CNH</t>
  </si>
  <si>
    <t xml:space="preserve">GBP/CNH</t>
  </si>
  <si>
    <t xml:space="preserve">GBP/INR</t>
  </si>
  <si>
    <t xml:space="preserve">USD/BRL</t>
  </si>
  <si>
    <t xml:space="preserve">USD/CNH</t>
  </si>
  <si>
    <t xml:space="preserve">USD/IDR</t>
  </si>
  <si>
    <t xml:space="preserve">USD/INR</t>
  </si>
  <si>
    <t xml:space="preserve">USD/KRW</t>
  </si>
  <si>
    <t xml:space="preserve">USD/PHP</t>
  </si>
  <si>
    <t xml:space="preserve">USD/THB</t>
  </si>
  <si>
    <t xml:space="preserve">USD/TWD</t>
  </si>
  <si>
    <t xml:space="preserve">Ether</t>
  </si>
  <si>
    <t xml:space="preserve">Solana</t>
  </si>
  <si>
    <t xml:space="preserve">Dogecoin</t>
  </si>
  <si>
    <t xml:space="preserve">Avalanche</t>
  </si>
  <si>
    <t xml:space="preserve">Cardano</t>
  </si>
  <si>
    <t xml:space="preserve">Polkadot</t>
  </si>
  <si>
    <t xml:space="preserve">Litecoin</t>
  </si>
  <si>
    <t xml:space="preserve">Ripple</t>
  </si>
  <si>
    <t xml:space="preserve">Chainlink</t>
  </si>
  <si>
    <t xml:space="preserve">Crypto 10 Index</t>
  </si>
  <si>
    <t xml:space="preserve">Ether/Bitcoin</t>
  </si>
  <si>
    <t xml:space="preserve">Uniswap</t>
  </si>
  <si>
    <t xml:space="preserve">Stellar</t>
  </si>
  <si>
    <t xml:space="preserve">EOS</t>
  </si>
  <si>
    <t xml:space="preserve">NEO</t>
  </si>
  <si>
    <t xml:space="preserve">Naturgas</t>
  </si>
  <si>
    <t xml:space="preserve">Olja - US Crude</t>
  </si>
  <si>
    <t xml:space="preserve">Olja - Brent Crude</t>
  </si>
  <si>
    <t xml:space="preserve">Utsläppsrättigheter - koldioxid</t>
  </si>
  <si>
    <t xml:space="preserve">Natural Gas - UK</t>
  </si>
  <si>
    <t xml:space="preserve">Eldningsolja</t>
  </si>
  <si>
    <t xml:space="preserve">Gasoline</t>
  </si>
  <si>
    <t xml:space="preserve">London Gasolja</t>
  </si>
  <si>
    <t xml:space="preserve">Guld</t>
  </si>
  <si>
    <t xml:space="preserve">Silver</t>
  </si>
  <si>
    <t xml:space="preserve">Palladium</t>
  </si>
  <si>
    <t xml:space="preserve">Platina</t>
  </si>
  <si>
    <t xml:space="preserve">Aluminium</t>
  </si>
  <si>
    <t xml:space="preserve">Högklassig Koppar</t>
  </si>
  <si>
    <t xml:space="preserve">Koppar</t>
  </si>
  <si>
    <t xml:space="preserve">Zink</t>
  </si>
  <si>
    <t xml:space="preserve">Iron Ore</t>
  </si>
  <si>
    <t xml:space="preserve">Lead</t>
  </si>
  <si>
    <t xml:space="preserve">Nickel</t>
  </si>
  <si>
    <t xml:space="preserve">Coffee - London (Robusta)</t>
  </si>
  <si>
    <t xml:space="preserve">Wheat - Chicago</t>
  </si>
  <si>
    <t xml:space="preserve">Cocoa - London</t>
  </si>
  <si>
    <t xml:space="preserve">Sugar - London No. 5</t>
  </si>
  <si>
    <t xml:space="preserve">Cocoa - New York</t>
  </si>
  <si>
    <t xml:space="preserve">Majs</t>
  </si>
  <si>
    <t xml:space="preserve">Råris</t>
  </si>
  <si>
    <t xml:space="preserve">Coffee - New York (Arabica)</t>
  </si>
  <si>
    <t xml:space="preserve">Soybeans</t>
  </si>
  <si>
    <t xml:space="preserve">Cotton</t>
  </si>
  <si>
    <t xml:space="preserve">Havre</t>
  </si>
  <si>
    <t xml:space="preserve">Lean Hogs</t>
  </si>
  <si>
    <t xml:space="preserve">Live Cattle</t>
  </si>
  <si>
    <t xml:space="preserve">Lumber</t>
  </si>
  <si>
    <t xml:space="preserve">Orange Juice</t>
  </si>
  <si>
    <t xml:space="preserve">Soybean Meal</t>
  </si>
  <si>
    <t xml:space="preserve">Soybean Oil</t>
  </si>
  <si>
    <t xml:space="preserve">Sugar - New York No. 11</t>
  </si>
  <si>
    <t xml:space="preserve">Wheat - London</t>
  </si>
  <si>
    <t xml:space="preserve">French OAT</t>
  </si>
  <si>
    <t xml:space="preserve">German Bobl</t>
  </si>
  <si>
    <t xml:space="preserve">German Bund</t>
  </si>
  <si>
    <t xml:space="preserve">German Buxl</t>
  </si>
  <si>
    <t xml:space="preserve">German Schatz</t>
  </si>
  <si>
    <t xml:space="preserve">Italian BTP</t>
  </si>
  <si>
    <t xml:space="preserve">Italian BTS</t>
  </si>
  <si>
    <t xml:space="preserve">Japansk Statsobligation</t>
  </si>
  <si>
    <t xml:space="preserve">UK Long Gilt</t>
  </si>
  <si>
    <t xml:space="preserve">US 10-Year T-Note</t>
  </si>
  <si>
    <t xml:space="preserve">US 2-Year T-Note</t>
  </si>
  <si>
    <t xml:space="preserve">US 5-Year T-Note</t>
  </si>
  <si>
    <t xml:space="preserve">US Ultra Treasury Bond</t>
  </si>
  <si>
    <t xml:space="preserve">3-Month SOFR</t>
  </si>
  <si>
    <t xml:space="preserve">3-Month SONIA</t>
  </si>
  <si>
    <t xml:space="preserve">Australiskt 30-Dagars Interbankkurs</t>
  </si>
  <si>
    <t xml:space="preserve">Euribor</t>
  </si>
  <si>
    <t xml:space="preserve">US 30-Day Fed Funds Rate</t>
  </si>
  <si>
    <t xml:space="preserve">Name</t>
  </si>
  <si>
    <t xml:space="preserve">Code</t>
  </si>
  <si>
    <t xml:space="preserve">Group</t>
  </si>
  <si>
    <t xml:space="preserve">Australian Dollar</t>
  </si>
  <si>
    <t xml:space="preserve">6A</t>
  </si>
  <si>
    <t xml:space="preserve">Currency</t>
  </si>
  <si>
    <t xml:space="preserve">Pound</t>
  </si>
  <si>
    <t xml:space="preserve">6B</t>
  </si>
  <si>
    <t xml:space="preserve">Canadian Dollar</t>
  </si>
  <si>
    <t xml:space="preserve">6C</t>
  </si>
  <si>
    <t xml:space="preserve">Euro FX</t>
  </si>
  <si>
    <t xml:space="preserve">6E</t>
  </si>
  <si>
    <t xml:space="preserve">Yen</t>
  </si>
  <si>
    <t xml:space="preserve">6J</t>
  </si>
  <si>
    <t xml:space="preserve">Mexican Peso</t>
  </si>
  <si>
    <t xml:space="preserve">6M</t>
  </si>
  <si>
    <t xml:space="preserve">New Zealand Dollar</t>
  </si>
  <si>
    <t xml:space="preserve">6N</t>
  </si>
  <si>
    <t xml:space="preserve">Swiss Franc</t>
  </si>
  <si>
    <t xml:space="preserve">6S</t>
  </si>
  <si>
    <t xml:space="preserve">LE</t>
  </si>
  <si>
    <t xml:space="preserve">Agriculture &amp; Livestock</t>
  </si>
  <si>
    <t xml:space="preserve">Feeder Cattle</t>
  </si>
  <si>
    <t xml:space="preserve">GF</t>
  </si>
  <si>
    <t xml:space="preserve">HE</t>
  </si>
  <si>
    <t xml:space="preserve">GSCI</t>
  </si>
  <si>
    <t xml:space="preserve">GD</t>
  </si>
  <si>
    <t xml:space="preserve">Commodity Index</t>
  </si>
  <si>
    <t xml:space="preserve">Milk</t>
  </si>
  <si>
    <t xml:space="preserve">DC</t>
  </si>
  <si>
    <t xml:space="preserve">Corn</t>
  </si>
  <si>
    <t xml:space="preserve">ZC</t>
  </si>
  <si>
    <t xml:space="preserve">Rice</t>
  </si>
  <si>
    <t xml:space="preserve">ZR</t>
  </si>
  <si>
    <t xml:space="preserve">ZM</t>
  </si>
  <si>
    <t xml:space="preserve">ZL</t>
  </si>
  <si>
    <t xml:space="preserve">10-Year T-Note</t>
  </si>
  <si>
    <t xml:space="preserve">ZN</t>
  </si>
  <si>
    <t xml:space="preserve">Interest Rate</t>
  </si>
  <si>
    <t xml:space="preserve">Dow</t>
  </si>
  <si>
    <t xml:space="preserve">YM</t>
  </si>
  <si>
    <t xml:space="preserve">Stock Index</t>
  </si>
  <si>
    <t xml:space="preserve">EURO STOXX 50</t>
  </si>
  <si>
    <t xml:space="preserve">FESX</t>
  </si>
  <si>
    <t xml:space="preserve">KOSPI 200</t>
  </si>
  <si>
    <t xml:space="preserve">KOS</t>
  </si>
  <si>
    <t xml:space="preserve">E-mini S&amp;P 500</t>
  </si>
  <si>
    <t xml:space="preserve">ES</t>
  </si>
  <si>
    <t xml:space="preserve">Nasdaq 100</t>
  </si>
  <si>
    <t xml:space="preserve">NQ</t>
  </si>
  <si>
    <t xml:space="preserve">KC HRW Wheat</t>
  </si>
  <si>
    <t xml:space="preserve">KE</t>
  </si>
  <si>
    <t xml:space="preserve">TecDAX</t>
  </si>
  <si>
    <t xml:space="preserve">FTDX</t>
  </si>
  <si>
    <t xml:space="preserve">Switzerland</t>
  </si>
  <si>
    <t xml:space="preserve">FSMI</t>
  </si>
  <si>
    <t xml:space="preserve">E-mini S&amp;P MidCap 400</t>
  </si>
  <si>
    <t xml:space="preserve">EMD</t>
  </si>
  <si>
    <t xml:space="preserve">Nikkei 225</t>
  </si>
  <si>
    <t xml:space="preserve">NKD</t>
  </si>
  <si>
    <t xml:space="preserve">5-Year T-Note</t>
  </si>
  <si>
    <t xml:space="preserve">ZF</t>
  </si>
  <si>
    <t xml:space="preserve">T-Bond</t>
  </si>
  <si>
    <t xml:space="preserve">ZB</t>
  </si>
  <si>
    <t xml:space="preserve">2-Year T-Note</t>
  </si>
  <si>
    <t xml:space="preserve">ZT</t>
  </si>
  <si>
    <t xml:space="preserve">Oats</t>
  </si>
  <si>
    <t xml:space="preserve">ZO</t>
  </si>
  <si>
    <t xml:space="preserve">Chicago Wheat</t>
  </si>
  <si>
    <t xml:space="preserve">ZW</t>
  </si>
  <si>
    <t xml:space="preserve">Soybean</t>
  </si>
  <si>
    <t xml:space="preserve">ZS</t>
  </si>
  <si>
    <t xml:space="preserve">DAX</t>
  </si>
  <si>
    <t xml:space="preserve">FDAX</t>
  </si>
  <si>
    <t xml:space="preserve">Bund</t>
  </si>
  <si>
    <t xml:space="preserve">FGBL</t>
  </si>
  <si>
    <t xml:space="preserve">Schatz</t>
  </si>
  <si>
    <t xml:space="preserve">FGBS</t>
  </si>
  <si>
    <t xml:space="preserve">Bobl</t>
  </si>
  <si>
    <t xml:space="preserve">FGBM</t>
  </si>
  <si>
    <t xml:space="preserve">Buxl</t>
  </si>
  <si>
    <t xml:space="preserve">FGBX</t>
  </si>
  <si>
    <t xml:space="preserve">LFT</t>
  </si>
  <si>
    <t xml:space="preserve">Long Gilt</t>
  </si>
  <si>
    <t xml:space="preserve">LLG</t>
  </si>
  <si>
    <t xml:space="preserve">LEU</t>
  </si>
  <si>
    <t xml:space="preserve">CAC</t>
  </si>
  <si>
    <t xml:space="preserve">FCE</t>
  </si>
  <si>
    <t xml:space="preserve">London Cocoa</t>
  </si>
  <si>
    <t xml:space="preserve">LCC</t>
  </si>
  <si>
    <t xml:space="preserve">Sugar No 5</t>
  </si>
  <si>
    <t xml:space="preserve">LSU</t>
  </si>
  <si>
    <t xml:space="preserve">Wheat London</t>
  </si>
  <si>
    <t xml:space="preserve">LWB</t>
  </si>
  <si>
    <t xml:space="preserve">Cocoa New York</t>
  </si>
  <si>
    <t xml:space="preserve">CC</t>
  </si>
  <si>
    <t xml:space="preserve">Coffee  New York</t>
  </si>
  <si>
    <t xml:space="preserve">KC</t>
  </si>
  <si>
    <t xml:space="preserve">Sugar No. 11</t>
  </si>
  <si>
    <t xml:space="preserve">SB</t>
  </si>
  <si>
    <t xml:space="preserve">OJ</t>
  </si>
  <si>
    <t xml:space="preserve">CT</t>
  </si>
  <si>
    <t xml:space="preserve">US Dollar Index</t>
  </si>
  <si>
    <t xml:space="preserve">DX</t>
  </si>
  <si>
    <t xml:space="preserve">Crude Oil</t>
  </si>
  <si>
    <t xml:space="preserve">CL</t>
  </si>
  <si>
    <t xml:space="preserve">Energy</t>
  </si>
  <si>
    <t xml:space="preserve">NY Harbor ULSD</t>
  </si>
  <si>
    <t xml:space="preserve">HO</t>
  </si>
  <si>
    <t xml:space="preserve">RBOB Gasoline</t>
  </si>
  <si>
    <t xml:space="preserve">RB</t>
  </si>
  <si>
    <t xml:space="preserve">Natural Gas</t>
  </si>
  <si>
    <t xml:space="preserve">NG</t>
  </si>
  <si>
    <t xml:space="preserve">PA</t>
  </si>
  <si>
    <t xml:space="preserve">Metal</t>
  </si>
  <si>
    <t xml:space="preserve">Platinum</t>
  </si>
  <si>
    <t xml:space="preserve">PL</t>
  </si>
  <si>
    <t xml:space="preserve">GC</t>
  </si>
  <si>
    <t xml:space="preserve">Copper</t>
  </si>
  <si>
    <t xml:space="preserve">HG</t>
  </si>
  <si>
    <t xml:space="preserve">SI</t>
  </si>
  <si>
    <t xml:space="preserve">Brent Crude Oil</t>
  </si>
  <si>
    <t xml:space="preserve">BRN</t>
  </si>
  <si>
    <t xml:space="preserve">WTI Crude Oil</t>
  </si>
  <si>
    <t xml:space="preserve">WBS</t>
  </si>
  <si>
    <t xml:space="preserve">Low Sulphur Gasoil</t>
  </si>
  <si>
    <t xml:space="preserve">GAS</t>
  </si>
  <si>
    <t xml:space="preserve">10-Year Govt. of Canada Bond</t>
  </si>
  <si>
    <t xml:space="preserve">CGB</t>
  </si>
  <si>
    <t xml:space="preserve">S&amp;P/TSX 60 Index</t>
  </si>
  <si>
    <t xml:space="preserve">SXF</t>
  </si>
  <si>
    <t xml:space="preserve">Canola</t>
  </si>
  <si>
    <t xml:space="preserve">RS</t>
  </si>
  <si>
    <t xml:space="preserve">Hard Red Spring Wheat</t>
  </si>
  <si>
    <t xml:space="preserve">MWE</t>
  </si>
  <si>
    <t xml:space="preserve">Hang Seng Index</t>
  </si>
  <si>
    <t xml:space="preserve">HSI</t>
  </si>
  <si>
    <t xml:space="preserve">MHI</t>
  </si>
  <si>
    <t xml:space="preserve">SNK</t>
  </si>
  <si>
    <t xml:space="preserve">SSG</t>
  </si>
  <si>
    <t xml:space="preserve">Japanese Govt Bond - Mini</t>
  </si>
  <si>
    <t xml:space="preserve">SJB</t>
  </si>
  <si>
    <t xml:space="preserve">ASX 90 Day Bank Accepted Bills</t>
  </si>
  <si>
    <t xml:space="preserve">YIR</t>
  </si>
  <si>
    <t xml:space="preserve">ASX 3 Year Treasury Bond</t>
  </si>
  <si>
    <t xml:space="preserve">YYT</t>
  </si>
  <si>
    <t xml:space="preserve">ASX 10 Year Treasury Bond</t>
  </si>
  <si>
    <t xml:space="preserve">YXT</t>
  </si>
  <si>
    <t xml:space="preserve">YAP</t>
  </si>
  <si>
    <t xml:space="preserve">ZQ</t>
  </si>
  <si>
    <t xml:space="preserve">Australisk 30-Dagars Interbankkurs</t>
  </si>
  <si>
    <t xml:space="preserve">YIB</t>
  </si>
  <si>
    <t xml:space="preserve">Robusta Coffee</t>
  </si>
  <si>
    <t xml:space="preserve">LRC</t>
  </si>
  <si>
    <t xml:space="preserve">Volatility Index</t>
  </si>
  <si>
    <t xml:space="preserve">VX</t>
  </si>
  <si>
    <t xml:space="preserve">Ultra T-Bond</t>
  </si>
  <si>
    <t xml:space="preserve">UB</t>
  </si>
  <si>
    <t xml:space="preserve">NIY</t>
  </si>
  <si>
    <t xml:space="preserve">Eastern Australia Feed Barley</t>
  </si>
  <si>
    <t xml:space="preserve">AFB</t>
  </si>
  <si>
    <t xml:space="preserve">Euro-BTP Long-Term</t>
  </si>
  <si>
    <t xml:space="preserve">FBTP</t>
  </si>
  <si>
    <t xml:space="preserve">FTSE China A50 Index</t>
  </si>
  <si>
    <t xml:space="preserve">SCN</t>
  </si>
  <si>
    <t xml:space="preserve">UK Natural Gas</t>
  </si>
  <si>
    <t xml:space="preserve">GWM</t>
  </si>
  <si>
    <t xml:space="preserve">EUA</t>
  </si>
  <si>
    <t xml:space="preserve">Euro-OAT</t>
  </si>
  <si>
    <t xml:space="preserve">FOAT</t>
  </si>
  <si>
    <t xml:space="preserve">Eastern Australia Wheat</t>
  </si>
  <si>
    <t xml:space="preserve">AWM</t>
  </si>
  <si>
    <t xml:space="preserve">TN</t>
  </si>
  <si>
    <t xml:space="preserve">Russell 2000</t>
  </si>
  <si>
    <t xml:space="preserve">RTY</t>
  </si>
  <si>
    <t xml:space="preserve">BTC</t>
  </si>
  <si>
    <t xml:space="preserve">MES</t>
  </si>
  <si>
    <t xml:space="preserve">MNQ</t>
  </si>
  <si>
    <t xml:space="preserve">M2K</t>
  </si>
  <si>
    <t xml:space="preserve">Dow Jones</t>
  </si>
  <si>
    <t xml:space="preserve">MYM</t>
  </si>
  <si>
    <t xml:space="preserve">SR3</t>
  </si>
  <si>
    <t xml:space="preserve">HTW</t>
  </si>
  <si>
    <t xml:space="preserve">MBT</t>
  </si>
  <si>
    <t xml:space="preserve">ETH</t>
  </si>
  <si>
    <t xml:space="preserve">MET</t>
  </si>
  <si>
    <t xml:space="preserve">SO3</t>
  </si>
  <si>
    <t xml:space="preserve">LBR</t>
  </si>
  <si>
    <t xml:space="preserve">Three-Month CORRA</t>
  </si>
  <si>
    <t xml:space="preserve">CRA</t>
  </si>
  <si>
    <t xml:space="preserve">Epic</t>
  </si>
  <si>
    <t xml:space="preserve">Can I trade on IG markets</t>
  </si>
  <si>
    <t xml:space="preserve">CS.D.AUDUSD.CFD.IP</t>
  </si>
  <si>
    <t xml:space="preserve">True</t>
  </si>
  <si>
    <t xml:space="preserve">CS.D.AUDUSD.MINI.IP</t>
  </si>
  <si>
    <t xml:space="preserve">British Pound</t>
  </si>
  <si>
    <t xml:space="preserve">CS.D.GBPUSD.CFD.IP</t>
  </si>
  <si>
    <t xml:space="preserve">CS.D.GBPUSD.MINI.IP</t>
  </si>
  <si>
    <t xml:space="preserve">False</t>
  </si>
  <si>
    <t xml:space="preserve">CS.D.EURUSD.CEE.IP</t>
  </si>
  <si>
    <t xml:space="preserve">CS.D.EURUSD.CEEM.IP</t>
  </si>
  <si>
    <t xml:space="preserve">Japanese Yen</t>
  </si>
  <si>
    <t xml:space="preserve">Live Cattle 1€</t>
  </si>
  <si>
    <t xml:space="preserve">CC.D.LC.UME.IP</t>
  </si>
  <si>
    <t xml:space="preserve">Live Cattle 4$</t>
  </si>
  <si>
    <t xml:space="preserve">CC.D.LC.UNC.IP</t>
  </si>
  <si>
    <t xml:space="preserve">Live Cattle 2$</t>
  </si>
  <si>
    <t xml:space="preserve">CO.D.LC.FWM1.IP</t>
  </si>
  <si>
    <t xml:space="preserve">CO.D.LC.FWS1.IP</t>
  </si>
  <si>
    <t xml:space="preserve">Lean Hogs 2$</t>
  </si>
  <si>
    <t xml:space="preserve">CO.D.LH.FWM1.IP</t>
  </si>
  <si>
    <t xml:space="preserve">Lean Hogs 4$</t>
  </si>
  <si>
    <t xml:space="preserve">CO.D.LH.FWS1.IP</t>
  </si>
  <si>
    <t xml:space="preserve">S&amp;P GSCI</t>
  </si>
  <si>
    <t xml:space="preserve">Finns som ETF</t>
  </si>
  <si>
    <t xml:space="preserve">Class III Milk</t>
  </si>
  <si>
    <t xml:space="preserve">Corn 50$</t>
  </si>
  <si>
    <t xml:space="preserve">CC.D.C.UNC.IP</t>
  </si>
  <si>
    <t xml:space="preserve">Corn 1€</t>
  </si>
  <si>
    <t xml:space="preserve">CC.D.C.UME.IP</t>
  </si>
  <si>
    <t xml:space="preserve">CO.D.C.FWS2.IP</t>
  </si>
  <si>
    <t xml:space="preserve">Corn 25$</t>
  </si>
  <si>
    <t xml:space="preserve">CO.D.C.FWM2.IP</t>
  </si>
  <si>
    <t xml:space="preserve">Rough Rice 1$</t>
  </si>
  <si>
    <t xml:space="preserve">CO.D.RR.FWM1.IP</t>
  </si>
  <si>
    <t xml:space="preserve">Rough Rice 2$</t>
  </si>
  <si>
    <t xml:space="preserve">CO.D.RR.FWS1.IP</t>
  </si>
  <si>
    <t xml:space="preserve">Soybean Meal 1$</t>
  </si>
  <si>
    <t xml:space="preserve">CC.D.SM.UNC.IP</t>
  </si>
  <si>
    <t xml:space="preserve">Soybean Meal 1€</t>
  </si>
  <si>
    <t xml:space="preserve">CC.D.SM.UME.IP</t>
  </si>
  <si>
    <t xml:space="preserve">CO.D.SM.FWS1.IP</t>
  </si>
  <si>
    <t xml:space="preserve">Soybean Meal 0,5$</t>
  </si>
  <si>
    <t xml:space="preserve">CO.D.SM.FWM1.IP</t>
  </si>
  <si>
    <t xml:space="preserve">Soybean Oil 6$</t>
  </si>
  <si>
    <t xml:space="preserve">CC.D.BO.UNC.IP</t>
  </si>
  <si>
    <t xml:space="preserve">Soybean Oil 1€</t>
  </si>
  <si>
    <t xml:space="preserve">CC.D.BO.UME.IP</t>
  </si>
  <si>
    <t xml:space="preserve">Soybean Oil 3$</t>
  </si>
  <si>
    <t xml:space="preserve">CO.D.BO.FWM1.IP</t>
  </si>
  <si>
    <t xml:space="preserve">CO.D.BO.FWS1.IP</t>
  </si>
  <si>
    <t xml:space="preserve">10-Year U.S. T-Note 10$</t>
  </si>
  <si>
    <t xml:space="preserve">IR.D.10YEAR100.FWS2.IP</t>
  </si>
  <si>
    <t xml:space="preserve">10-Year U.S. T-Note 2$</t>
  </si>
  <si>
    <t xml:space="preserve">IR.D.10YEAR100.FWM2.IP</t>
  </si>
  <si>
    <t xml:space="preserve">E-mini Dow 1€</t>
  </si>
  <si>
    <t xml:space="preserve">IX.D.DOW.INE.IP</t>
  </si>
  <si>
    <t xml:space="preserve">E-mini Dow 1$</t>
  </si>
  <si>
    <t xml:space="preserve">IX.D.DOW.IEE.IP</t>
  </si>
  <si>
    <t xml:space="preserve">E-mini Dow 2$</t>
  </si>
  <si>
    <t xml:space="preserve">IX.D.DOW.FWM2.IP</t>
  </si>
  <si>
    <t xml:space="preserve">E-mini Dow 10$</t>
  </si>
  <si>
    <t xml:space="preserve">IX.D.DOW.FWS2.IP</t>
  </si>
  <si>
    <t xml:space="preserve">EURO STOXX 50 2€</t>
  </si>
  <si>
    <t xml:space="preserve">IX.D.STXE.IFM.IP</t>
  </si>
  <si>
    <t xml:space="preserve">EURO STOXX 50 10€</t>
  </si>
  <si>
    <t xml:space="preserve">IX.D.STXE.IFD.IP</t>
  </si>
  <si>
    <t xml:space="preserve">IX.D.STXE.FWM4.IP</t>
  </si>
  <si>
    <t xml:space="preserve">IX.D.STXE.FWS4.IP</t>
  </si>
  <si>
    <t xml:space="preserve">E-mini S&amp;P 500 1$</t>
  </si>
  <si>
    <t xml:space="preserve">IX.D.SPTRD.IEE.IP</t>
  </si>
  <si>
    <t xml:space="preserve">E-mini S&amp;P 500 1€</t>
  </si>
  <si>
    <t xml:space="preserve">IX.D.SPTRD.INE.IP</t>
  </si>
  <si>
    <t xml:space="preserve">E-mini S&amp;P 500 250$</t>
  </si>
  <si>
    <t xml:space="preserve">IX.D.SPTRD.FWS1.IP</t>
  </si>
  <si>
    <t xml:space="preserve">E-mini S&amp;P 500 50$</t>
  </si>
  <si>
    <t xml:space="preserve">IX.D.SPTRD.FWM1.IP</t>
  </si>
  <si>
    <t xml:space="preserve">E-mini Nasdaq-100 1€</t>
  </si>
  <si>
    <t xml:space="preserve">IX.D.NASDAQ.INE.IP</t>
  </si>
  <si>
    <t xml:space="preserve">E-mini Nasdaq-100 1$</t>
  </si>
  <si>
    <t xml:space="preserve">IX.D.NASDAQ.IEE.IP</t>
  </si>
  <si>
    <t xml:space="preserve">E-mini Nasdaq-100 100$</t>
  </si>
  <si>
    <t xml:space="preserve">IX.D.NASDAQ.FWS1.IP</t>
  </si>
  <si>
    <t xml:space="preserve">E-mini Nasdaq-100 20$</t>
  </si>
  <si>
    <t xml:space="preserve">IX.D.NASDAQ.FWM1.IP</t>
  </si>
  <si>
    <t xml:space="preserve">KC HRW Wheat 50€</t>
  </si>
  <si>
    <t xml:space="preserve">TecDAX 2€ mini</t>
  </si>
  <si>
    <t xml:space="preserve">TM.D.TECDAX.IFM.IP</t>
  </si>
  <si>
    <t xml:space="preserve">TM.D.TECDAX.IFD.IP</t>
  </si>
  <si>
    <t xml:space="preserve">Swiss Market Index 10CHF</t>
  </si>
  <si>
    <t xml:space="preserve">IX.D.SMI.IFD.IP</t>
  </si>
  <si>
    <t xml:space="preserve">Swiss Market Index 2CHF</t>
  </si>
  <si>
    <t xml:space="preserve">IX.D.SMI.IFM.IP</t>
  </si>
  <si>
    <t xml:space="preserve">Swiss Market Index</t>
  </si>
  <si>
    <t xml:space="preserve">IX.D.SMI.FWM2.IP</t>
  </si>
  <si>
    <t xml:space="preserve">Nikkei 225 Dollar 5$</t>
  </si>
  <si>
    <t xml:space="preserve">IX.D.NIKKEI.IFD.IP</t>
  </si>
  <si>
    <t xml:space="preserve">Nikkei 225 Dollar 1$</t>
  </si>
  <si>
    <t xml:space="preserve">IX.D.NIKKEI.IFM.IP</t>
  </si>
  <si>
    <t xml:space="preserve">Nikkei 225 Dollar</t>
  </si>
  <si>
    <t xml:space="preserve">IX.D.NIKFUT.FWM1.IP</t>
  </si>
  <si>
    <t xml:space="preserve">5-Year U.S. T-Note 2$</t>
  </si>
  <si>
    <t xml:space="preserve">IR.D.05YEAR100.FWM2.IP</t>
  </si>
  <si>
    <t xml:space="preserve">5-Year U.S. T-Note 10$</t>
  </si>
  <si>
    <t xml:space="preserve">IR.D.05YEAR100.FWS2.IP</t>
  </si>
  <si>
    <r>
      <rPr>
        <sz val="10"/>
        <rFont val="Arial"/>
        <family val="2"/>
        <charset val="1"/>
      </rPr>
      <t xml:space="preserve">U.S. T-Bond </t>
    </r>
    <r>
      <rPr>
        <sz val="10"/>
        <rFont val="Arial"/>
        <family val="2"/>
      </rPr>
      <t xml:space="preserve">2$</t>
    </r>
  </si>
  <si>
    <t xml:space="preserve">IR.D.BOND100.FWS.IP</t>
  </si>
  <si>
    <r>
      <rPr>
        <sz val="10"/>
        <rFont val="Arial"/>
        <family val="2"/>
        <charset val="1"/>
      </rPr>
      <t xml:space="preserve">U.S. T-Bond </t>
    </r>
    <r>
      <rPr>
        <sz val="10"/>
        <rFont val="Arial"/>
        <family val="2"/>
      </rPr>
      <t xml:space="preserve">10$</t>
    </r>
  </si>
  <si>
    <t xml:space="preserve">IR.D.BOND100.FWM.IP</t>
  </si>
  <si>
    <t xml:space="preserve">2-Year U.S. T-Note 2$</t>
  </si>
  <si>
    <t xml:space="preserve">IR.D.02YEAR100.FWM2.IP</t>
  </si>
  <si>
    <t xml:space="preserve">2-Year U.S. T-Note 10$</t>
  </si>
  <si>
    <t xml:space="preserve">IR.D.02YEAR100.FWS2.IP</t>
  </si>
  <si>
    <t xml:space="preserve">Oats 25$</t>
  </si>
  <si>
    <t xml:space="preserve">CO.D.O.FWM2.IP</t>
  </si>
  <si>
    <t xml:space="preserve">Oats 50$</t>
  </si>
  <si>
    <t xml:space="preserve">CO.D.O.FWS2.IP</t>
  </si>
  <si>
    <r>
      <rPr>
        <sz val="10"/>
        <rFont val="Arial"/>
        <family val="2"/>
        <charset val="1"/>
      </rPr>
      <t xml:space="preserve">Chicago SRW Wheat </t>
    </r>
    <r>
      <rPr>
        <sz val="10"/>
        <rFont val="Arial"/>
        <family val="2"/>
      </rPr>
      <t xml:space="preserve">50€</t>
    </r>
  </si>
  <si>
    <t xml:space="preserve">CC.D.W.UNC.IP</t>
  </si>
  <si>
    <r>
      <rPr>
        <sz val="10"/>
        <rFont val="Arial"/>
        <family val="2"/>
        <charset val="1"/>
      </rPr>
      <t xml:space="preserve">Chicago SRW Wheat </t>
    </r>
    <r>
      <rPr>
        <sz val="10"/>
        <rFont val="Arial"/>
        <family val="2"/>
      </rPr>
      <t xml:space="preserve">1€</t>
    </r>
  </si>
  <si>
    <t xml:space="preserve">CC.D.W.UME.IP</t>
  </si>
  <si>
    <r>
      <rPr>
        <sz val="10"/>
        <rFont val="Arial"/>
        <family val="2"/>
        <charset val="1"/>
      </rPr>
      <t xml:space="preserve">Chicago SRW Wheat </t>
    </r>
    <r>
      <rPr>
        <sz val="10"/>
        <rFont val="Arial"/>
        <family val="2"/>
      </rPr>
      <t xml:space="preserve">25$</t>
    </r>
  </si>
  <si>
    <t xml:space="preserve">CO.D.W.FWM1.IP</t>
  </si>
  <si>
    <r>
      <rPr>
        <sz val="10"/>
        <rFont val="Arial"/>
        <family val="2"/>
        <charset val="1"/>
      </rPr>
      <t xml:space="preserve">Chicago SRW Wheat </t>
    </r>
    <r>
      <rPr>
        <sz val="10"/>
        <rFont val="Arial"/>
        <family val="2"/>
      </rPr>
      <t xml:space="preserve">50$</t>
    </r>
  </si>
  <si>
    <t xml:space="preserve">CO.D.W.FWS1.IP</t>
  </si>
  <si>
    <t xml:space="preserve">Soybean 50$</t>
  </si>
  <si>
    <t xml:space="preserve">CC.D.S.UNC.IP</t>
  </si>
  <si>
    <t xml:space="preserve">Soybean 1€</t>
  </si>
  <si>
    <t xml:space="preserve">CC.D.S.UME.IP</t>
  </si>
  <si>
    <t xml:space="preserve">CO.D.S.FWS2.IP</t>
  </si>
  <si>
    <t xml:space="preserve">Soybean 25$</t>
  </si>
  <si>
    <t xml:space="preserve">CO.D.S.FWM2.IP</t>
  </si>
  <si>
    <t xml:space="preserve">DAX 1€</t>
  </si>
  <si>
    <t xml:space="preserve">IX.D.DAX.INE.IP</t>
  </si>
  <si>
    <t xml:space="preserve">DAX 25€</t>
  </si>
  <si>
    <t xml:space="preserve">IX.D.DAX.FWS1.IP</t>
  </si>
  <si>
    <t xml:space="preserve">DAX 5€</t>
  </si>
  <si>
    <t xml:space="preserve">IX.D.DAX.FWM1.IP</t>
  </si>
  <si>
    <t xml:space="preserve">Euro-Bund 10€</t>
  </si>
  <si>
    <t xml:space="preserve">IR.D.FGBL.FWJ2.IP</t>
  </si>
  <si>
    <t xml:space="preserve">Euro-Bund 2€</t>
  </si>
  <si>
    <t xml:space="preserve">IR.D.FGBL.FWM2.IP</t>
  </si>
  <si>
    <t xml:space="preserve">Euro-Schatz 2€</t>
  </si>
  <si>
    <t xml:space="preserve">IR.D.FGBS.FWM2.IP</t>
  </si>
  <si>
    <t xml:space="preserve">Euro-Schatz 10€</t>
  </si>
  <si>
    <t xml:space="preserve">IR.D.FGBS.FWS2.IP</t>
  </si>
  <si>
    <t xml:space="preserve">Euro-Bobl 2€</t>
  </si>
  <si>
    <t xml:space="preserve">IR.D.FGBM.FWM2.IP</t>
  </si>
  <si>
    <t xml:space="preserve">Euro-Bobl 10€</t>
  </si>
  <si>
    <t xml:space="preserve">IR.D.FGBM.FWS2.IP</t>
  </si>
  <si>
    <r>
      <rPr>
        <sz val="10"/>
        <rFont val="Arial"/>
        <family val="2"/>
        <charset val="1"/>
      </rPr>
      <t xml:space="preserve">Euro-Buxl </t>
    </r>
    <r>
      <rPr>
        <sz val="10"/>
        <rFont val="Arial"/>
        <family val="2"/>
      </rPr>
      <t xml:space="preserve">2€</t>
    </r>
  </si>
  <si>
    <t xml:space="preserve">IR.D.FGBX.FWM2.IP</t>
  </si>
  <si>
    <r>
      <rPr>
        <sz val="10"/>
        <rFont val="Arial"/>
        <family val="2"/>
        <charset val="1"/>
      </rPr>
      <t xml:space="preserve">Euro-Buxl </t>
    </r>
    <r>
      <rPr>
        <sz val="10"/>
        <rFont val="Arial"/>
        <family val="2"/>
      </rPr>
      <t xml:space="preserve">10€</t>
    </r>
  </si>
  <si>
    <t xml:space="preserve">IR.D.FGBX.FWS2.IP</t>
  </si>
  <si>
    <t xml:space="preserve">FTSE 100 1GBP</t>
  </si>
  <si>
    <t xml:space="preserve">IX.D.FTSE.IEL.IP</t>
  </si>
  <si>
    <t xml:space="preserve">FTSE 100 2£</t>
  </si>
  <si>
    <t xml:space="preserve">IX.D.FTSE.IFM.IP</t>
  </si>
  <si>
    <t xml:space="preserve">FTSE 100 10£</t>
  </si>
  <si>
    <t xml:space="preserve">IX.D.FTSE.CFD.IP</t>
  </si>
  <si>
    <t xml:space="preserve">FTSE 100 1€</t>
  </si>
  <si>
    <t xml:space="preserve">IX.D.FTSE.IFE.IP</t>
  </si>
  <si>
    <t xml:space="preserve">IX.D.FTSE.FWS1.IP</t>
  </si>
  <si>
    <t xml:space="preserve">IX.D.FTSE.FWM1.IP</t>
  </si>
  <si>
    <t xml:space="preserve">Long Gilt 2£</t>
  </si>
  <si>
    <t xml:space="preserve">IR.D.FLG.FWM2.IP</t>
  </si>
  <si>
    <t xml:space="preserve">Long Gilt 10£</t>
  </si>
  <si>
    <t xml:space="preserve">IR.D.FLG.FWS2.IP</t>
  </si>
  <si>
    <t xml:space="preserve">Euribor 5€</t>
  </si>
  <si>
    <t xml:space="preserve">IR.D.FEI.FWM6.IP</t>
  </si>
  <si>
    <t xml:space="preserve">Euribor 25€</t>
  </si>
  <si>
    <t xml:space="preserve">IR.D.FEI.FWS6.IP</t>
  </si>
  <si>
    <t xml:space="preserve">CAC 40 1€</t>
  </si>
  <si>
    <t xml:space="preserve">IX.D.CAC.IFE.IP</t>
  </si>
  <si>
    <t xml:space="preserve">CAC 40 10€</t>
  </si>
  <si>
    <t xml:space="preserve">IX.D.CAC.IFD.IP</t>
  </si>
  <si>
    <t xml:space="preserve">CAC 40 2€</t>
  </si>
  <si>
    <t xml:space="preserve">IX.D.CAC.IFM.IP</t>
  </si>
  <si>
    <t xml:space="preserve">IX.D.CAC.FWM1.IP</t>
  </si>
  <si>
    <t xml:space="preserve">White Sugar</t>
  </si>
  <si>
    <t xml:space="preserve">Feed Wheat</t>
  </si>
  <si>
    <t xml:space="preserve">Cocoa</t>
  </si>
  <si>
    <t xml:space="preserve">Coffee C</t>
  </si>
  <si>
    <t xml:space="preserve">Frozen Concentrated Orange Juice Grade A</t>
  </si>
  <si>
    <t xml:space="preserve">Cotton No. 2</t>
  </si>
  <si>
    <t xml:space="preserve">Henry Hub Natural Gas</t>
  </si>
  <si>
    <t xml:space="preserve">Hang Seng Index - Mini</t>
  </si>
  <si>
    <t xml:space="preserve">Nikkei 225 (SGX)</t>
  </si>
  <si>
    <t xml:space="preserve">MSCI Singapore Index</t>
  </si>
  <si>
    <t xml:space="preserve">ASX SPI 200</t>
  </si>
  <si>
    <t xml:space="preserve">30 Day Federal Funds</t>
  </si>
  <si>
    <t xml:space="preserve">ASX 30 Day Interbank Cash Rate</t>
  </si>
  <si>
    <t xml:space="preserve">Robusta Coffee 10 Tonne</t>
  </si>
  <si>
    <t xml:space="preserve">CBOE Volatility Index</t>
  </si>
  <si>
    <t xml:space="preserve">Ultra U.S. T-Bond</t>
  </si>
  <si>
    <t xml:space="preserve">Nikkei 225 Yen</t>
  </si>
  <si>
    <t xml:space="preserve">Ultra 10-Year U.S. T-Note</t>
  </si>
  <si>
    <t xml:space="preserve">E-mini Russell 2000</t>
  </si>
  <si>
    <t xml:space="preserve">Micro E-mini S&amp;P 500</t>
  </si>
  <si>
    <t xml:space="preserve">Micro E-mini Nasdaq-100</t>
  </si>
  <si>
    <t xml:space="preserve">Micro E-mini Russell 2000</t>
  </si>
  <si>
    <t xml:space="preserve">Micro E-mini Dow Jones Industrial Average</t>
  </si>
  <si>
    <t xml:space="preserve">MSCI Taiwan Index</t>
  </si>
  <si>
    <t xml:space="preserve">Micro Bitcoin</t>
  </si>
  <si>
    <t xml:space="preserve">Micro Ether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</si>
</sst>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$-409]#,##0;[RED]\-[$$-409]#,##0"/>
    <numFmt numFmtId="166" formatCode="[$$-409]#,##0.00;[RED]\-[$$-409]#,##0.00"/>
    <numFmt numFmtId="167" formatCode="0.000000\ %"/>
    <numFmt numFmtId="168" formatCode="#,##0.00"/>
    <numFmt numFmtId="169" formatCode="0.00\ %"/>
    <numFmt numFmtId="170" formatCode="#,##0.0000000000"/>
    <numFmt numFmtId="171" formatCode="[$$-409]#,##0;[RED]\-[$$-409]#,##0"/>
    <numFmt numFmtId="172" formatCode="[$-41D]0.00\ %"/>
    <numFmt numFmtId="173" formatCode="0.00\ %"/>
    <numFmt numFmtId="174" formatCode="0.0000\ %"/>
    <numFmt numFmtId="175" formatCode="#,##0"/>
    <numFmt numFmtId="176" formatCode="[$$-409]#,##0.00;[RED]\-[$$-409]#,##0.00"/>
    <numFmt numFmtId="177" formatCode="[$$-409]#,##0.0;[RED]\-[$$-409]#,##0.0"/>
    <numFmt numFmtId="178" formatCode="#,##0.00\ [$€-81D];[RED]\-#,##0.00\ [$€-81D]"/>
    <numFmt numFmtId="179" formatCode="[$$-409]#,##0.00000;[RED]\-[$$-409]#,##0.000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Times New Roman"/>
      <family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 val="true"/>
      <sz val="10"/>
      <color rgb="FF000000"/>
      <name val="Calibri"/>
      <family val="2"/>
    </font>
    <font>
      <b val="true"/>
      <sz val="10"/>
      <color rgb="FF000000"/>
      <name val="Calibri"/>
      <family val="2"/>
      <charset val="1"/>
    </font>
    <font>
      <sz val="10"/>
      <name val="Liberation Mono;Courier New;DejaVu Sans Mono"/>
      <family val="3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3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3" activeCellId="0" sqref="X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"/>
    <col collapsed="false" customWidth="false" hidden="false" outlineLevel="0" max="3" min="2" style="1" width="11.53"/>
    <col collapsed="false" customWidth="true" hidden="false" outlineLevel="0" max="4" min="4" style="2" width="12.94"/>
    <col collapsed="false" customWidth="true" hidden="false" outlineLevel="0" max="5" min="5" style="2" width="11.26"/>
    <col collapsed="false" customWidth="false" hidden="false" outlineLevel="0" max="7" min="6" style="3" width="11.53"/>
    <col collapsed="false" customWidth="true" hidden="false" outlineLevel="0" max="8" min="8" style="3" width="9.32"/>
    <col collapsed="false" customWidth="true" hidden="false" outlineLevel="0" max="9" min="9" style="3" width="18.08"/>
    <col collapsed="false" customWidth="true" hidden="false" outlineLevel="0" max="10" min="10" style="4" width="15.02"/>
    <col collapsed="false" customWidth="true" hidden="false" outlineLevel="0" max="11" min="11" style="4" width="10.57"/>
    <col collapsed="false" customWidth="true" hidden="false" outlineLevel="0" max="12" min="12" style="4" width="10.71"/>
    <col collapsed="false" customWidth="true" hidden="false" outlineLevel="0" max="13" min="13" style="5" width="10.71"/>
    <col collapsed="false" customWidth="true" hidden="false" outlineLevel="0" max="14" min="14" style="5" width="13.22"/>
    <col collapsed="false" customWidth="true" hidden="false" outlineLevel="0" max="16" min="15" style="6" width="10.71"/>
    <col collapsed="false" customWidth="true" hidden="false" outlineLevel="0" max="17" min="17" style="5" width="10.71"/>
    <col collapsed="false" customWidth="true" hidden="false" outlineLevel="0" max="18" min="18" style="7" width="12.1"/>
    <col collapsed="false" customWidth="true" hidden="false" outlineLevel="0" max="20" min="19" style="5" width="10.71"/>
    <col collapsed="false" customWidth="true" hidden="false" outlineLevel="0" max="21" min="21" style="6" width="10.71"/>
    <col collapsed="false" customWidth="true" hidden="false" outlineLevel="0" max="22" min="22" style="8" width="10.71"/>
    <col collapsed="false" customWidth="false" hidden="false" outlineLevel="0" max="23" min="23" style="5" width="11.53"/>
    <col collapsed="false" customWidth="true" hidden="false" outlineLevel="0" max="24" min="24" style="2" width="10.71"/>
    <col collapsed="false" customWidth="false" hidden="false" outlineLevel="0" max="25" min="25" style="9" width="11.53"/>
    <col collapsed="false" customWidth="true" hidden="false" outlineLevel="0" max="26" min="26" style="2" width="17.39"/>
    <col collapsed="false" customWidth="false" hidden="false" outlineLevel="0" max="27" min="27" style="2" width="11.53"/>
    <col collapsed="false" customWidth="true" hidden="false" outlineLevel="0" max="28" min="28" style="1" width="34.4"/>
    <col collapsed="false" customWidth="true" hidden="false" outlineLevel="0" max="29" min="29" style="1" width="14.09"/>
    <col collapsed="false" customWidth="false" hidden="false" outlineLevel="0" max="30" min="30" style="1" width="11.53"/>
  </cols>
  <sheetData>
    <row r="1" customFormat="false" ht="57.4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10" t="s">
        <v>0</v>
      </c>
      <c r="O1" s="11"/>
      <c r="P1" s="11"/>
      <c r="Q1" s="10" t="s">
        <v>1</v>
      </c>
      <c r="R1" s="12"/>
      <c r="S1" s="10"/>
      <c r="T1" s="10"/>
      <c r="U1" s="13" t="s">
        <v>2</v>
      </c>
      <c r="V1" s="14"/>
      <c r="W1" s="15"/>
      <c r="X1" s="0"/>
      <c r="Y1" s="0"/>
      <c r="Z1" s="0"/>
      <c r="AA1" s="0"/>
      <c r="AB1" s="0" t="s">
        <v>3</v>
      </c>
      <c r="AC1" s="0"/>
      <c r="AD1" s="0"/>
    </row>
    <row r="2" customFormat="false" ht="57.45" hidden="false" customHeight="false" outlineLevel="0" collapsed="false">
      <c r="A2" s="16" t="s">
        <v>4</v>
      </c>
      <c r="B2" s="16" t="s">
        <v>5</v>
      </c>
      <c r="C2" s="16" t="s">
        <v>6</v>
      </c>
      <c r="D2" s="17" t="s">
        <v>7</v>
      </c>
      <c r="E2" s="17" t="s">
        <v>8</v>
      </c>
      <c r="F2" s="18" t="s">
        <v>9</v>
      </c>
      <c r="G2" s="18" t="s">
        <v>10</v>
      </c>
      <c r="H2" s="18" t="s">
        <v>11</v>
      </c>
      <c r="I2" s="19" t="s">
        <v>12</v>
      </c>
      <c r="J2" s="20" t="s">
        <v>13</v>
      </c>
      <c r="K2" s="20" t="s">
        <v>14</v>
      </c>
      <c r="L2" s="20" t="s">
        <v>15</v>
      </c>
      <c r="M2" s="21" t="s">
        <v>16</v>
      </c>
      <c r="N2" s="21" t="s">
        <v>17</v>
      </c>
      <c r="O2" s="22" t="s">
        <v>18</v>
      </c>
      <c r="P2" s="22" t="s">
        <v>19</v>
      </c>
      <c r="Q2" s="21" t="s">
        <v>20</v>
      </c>
      <c r="R2" s="23" t="s">
        <v>21</v>
      </c>
      <c r="S2" s="21" t="s">
        <v>22</v>
      </c>
      <c r="T2" s="21" t="s">
        <v>23</v>
      </c>
      <c r="U2" s="22" t="s">
        <v>24</v>
      </c>
      <c r="V2" s="24" t="s">
        <v>25</v>
      </c>
      <c r="W2" s="25" t="s">
        <v>26</v>
      </c>
      <c r="X2" s="26" t="s">
        <v>27</v>
      </c>
      <c r="Y2" s="27" t="s">
        <v>28</v>
      </c>
      <c r="Z2" s="26" t="s">
        <v>29</v>
      </c>
      <c r="AA2" s="26" t="s">
        <v>30</v>
      </c>
      <c r="AB2" s="1" t="s">
        <v>31</v>
      </c>
    </row>
    <row r="3" customFormat="false" ht="12.8" hidden="false" customHeight="false" outlineLevel="0" collapsed="false">
      <c r="A3" s="28" t="s">
        <v>32</v>
      </c>
      <c r="B3" s="28" t="s">
        <v>33</v>
      </c>
      <c r="C3" s="28" t="s">
        <v>34</v>
      </c>
      <c r="D3" s="29" t="n">
        <v>1</v>
      </c>
      <c r="E3" s="30" t="n">
        <v>0</v>
      </c>
      <c r="F3" s="30" t="n">
        <v>6825.21</v>
      </c>
      <c r="G3" s="30" t="n">
        <v>6825.71</v>
      </c>
      <c r="H3" s="31" t="n">
        <f aca="false">G3-F3</f>
        <v>0.5</v>
      </c>
      <c r="I3" s="31" t="n">
        <f aca="false">E3+(H3*D3)/2</f>
        <v>0.25</v>
      </c>
      <c r="J3" s="32" t="n">
        <f aca="false">I3/(F3*D3)</f>
        <v>3.66289095866647E-005</v>
      </c>
      <c r="K3" s="33" t="n">
        <f aca="false">(108.57*14)/F3</f>
        <v>0.222700839974155</v>
      </c>
      <c r="L3" s="34" t="n">
        <f aca="false">J3/K3</f>
        <v>0.000164475848366426</v>
      </c>
      <c r="M3" s="35" t="n">
        <v>0</v>
      </c>
      <c r="N3" s="35" t="n">
        <v>1</v>
      </c>
      <c r="O3" s="36" t="n">
        <f aca="false">0.027%*365</f>
        <v>0.09855</v>
      </c>
      <c r="P3" s="36" t="n">
        <f aca="false">O3/K3</f>
        <v>0.442521905222437</v>
      </c>
      <c r="Q3" s="35" t="n">
        <v>5.4</v>
      </c>
      <c r="R3" s="37" t="n">
        <f aca="false">L3+P3</f>
        <v>0.442686381070804</v>
      </c>
      <c r="S3" s="38" t="n">
        <v>1</v>
      </c>
      <c r="T3" s="39" t="n">
        <f aca="false">S3*D3*F3</f>
        <v>6825.21</v>
      </c>
      <c r="U3" s="40" t="n">
        <v>0.5</v>
      </c>
      <c r="V3" s="39" t="n">
        <f aca="false">T3*K3/(U3*S3)</f>
        <v>3039.96</v>
      </c>
      <c r="W3" s="38" t="n">
        <v>0.2</v>
      </c>
      <c r="X3" s="41" t="n">
        <f aca="false">(4*W3*D3*F3*S3*K3)/U3</f>
        <v>2431.968</v>
      </c>
      <c r="Y3" s="42" t="n">
        <v>0.05</v>
      </c>
      <c r="Z3" s="41" t="n">
        <f aca="false">X3*Y3</f>
        <v>121.5984</v>
      </c>
      <c r="AA3" s="43" t="n">
        <v>1200000</v>
      </c>
      <c r="AB3" s="8" t="n">
        <f aca="false">S3*AA3*K3*F3*D3/1000000</f>
        <v>1823.976</v>
      </c>
    </row>
    <row r="4" customFormat="false" ht="12.8" hidden="false" customHeight="false" outlineLevel="0" collapsed="false">
      <c r="A4" s="28" t="s">
        <v>32</v>
      </c>
      <c r="B4" s="28" t="s">
        <v>35</v>
      </c>
      <c r="C4" s="28" t="s">
        <v>34</v>
      </c>
      <c r="D4" s="29" t="n">
        <v>50</v>
      </c>
      <c r="E4" s="29" t="n">
        <v>0</v>
      </c>
      <c r="F4" s="44" t="n">
        <v>6738.54</v>
      </c>
      <c r="G4" s="44" t="n">
        <v>6739.24</v>
      </c>
      <c r="H4" s="31" t="n">
        <f aca="false">G4-F4</f>
        <v>0.699999999999818</v>
      </c>
      <c r="I4" s="31" t="n">
        <f aca="false">E4+(H4*D4)/2</f>
        <v>17.4999999999955</v>
      </c>
      <c r="J4" s="32" t="n">
        <f aca="false">I4/(F4*D4)</f>
        <v>5.19400344881694E-005</v>
      </c>
      <c r="K4" s="33" t="n">
        <f aca="false">(108.57*14)/F4</f>
        <v>0.225565181775281</v>
      </c>
      <c r="L4" s="34" t="n">
        <f aca="false">J4/K4</f>
        <v>0.000230266187712936</v>
      </c>
      <c r="M4" s="35" t="n">
        <v>4</v>
      </c>
      <c r="N4" s="35" t="n">
        <v>2</v>
      </c>
      <c r="O4" s="36" t="n">
        <f aca="false">N4*M4*J4</f>
        <v>0.000415520275905355</v>
      </c>
      <c r="P4" s="36" t="n">
        <f aca="false">O4/K4</f>
        <v>0.00184212950170349</v>
      </c>
      <c r="Q4" s="35" t="n">
        <v>5.4</v>
      </c>
      <c r="R4" s="37" t="n">
        <f aca="false">Q4*L4+P4</f>
        <v>0.00308556691535335</v>
      </c>
      <c r="S4" s="38" t="n">
        <v>1</v>
      </c>
      <c r="T4" s="39" t="n">
        <f aca="false">S4*D4*F4</f>
        <v>336927</v>
      </c>
      <c r="U4" s="40" t="n">
        <v>0.5</v>
      </c>
      <c r="V4" s="39" t="n">
        <f aca="false">T4*K4/(U4*S4)</f>
        <v>151998</v>
      </c>
      <c r="W4" s="38" t="n">
        <v>0.02</v>
      </c>
      <c r="X4" s="41" t="n">
        <f aca="false">(4*W4*D4*F4*S4*K4)/U4</f>
        <v>12159.84</v>
      </c>
      <c r="Y4" s="42" t="n">
        <v>0.05</v>
      </c>
      <c r="Z4" s="41" t="n">
        <f aca="false">X4*Y4</f>
        <v>607.992</v>
      </c>
      <c r="AA4" s="43" t="n">
        <v>1500000</v>
      </c>
      <c r="AB4" s="8" t="n">
        <f aca="false">S4*AA4*K4*F4*D4/1000000</f>
        <v>113998.5</v>
      </c>
    </row>
    <row r="5" customFormat="false" ht="12.8" hidden="false" customHeight="false" outlineLevel="0" collapsed="false">
      <c r="A5" s="28" t="s">
        <v>32</v>
      </c>
      <c r="B5" s="28" t="s">
        <v>35</v>
      </c>
      <c r="C5" s="28" t="s">
        <v>34</v>
      </c>
      <c r="D5" s="29" t="n">
        <v>250</v>
      </c>
      <c r="E5" s="29" t="n">
        <v>0</v>
      </c>
      <c r="F5" s="44" t="n">
        <v>6738.54</v>
      </c>
      <c r="G5" s="44" t="n">
        <v>6739.24</v>
      </c>
      <c r="H5" s="31" t="n">
        <f aca="false">G5-F5</f>
        <v>0.699999999999818</v>
      </c>
      <c r="I5" s="31" t="n">
        <f aca="false">E5+(H5*D5)/2</f>
        <v>87.4999999999773</v>
      </c>
      <c r="J5" s="32" t="n">
        <f aca="false">I5/(F5*D5)</f>
        <v>5.19400344881694E-005</v>
      </c>
      <c r="K5" s="33" t="n">
        <f aca="false">(108.57*14)/F5</f>
        <v>0.225565181775281</v>
      </c>
      <c r="L5" s="34" t="n">
        <f aca="false">J5/K5</f>
        <v>0.000230266187712936</v>
      </c>
      <c r="M5" s="35" t="n">
        <v>4</v>
      </c>
      <c r="N5" s="35" t="n">
        <v>2</v>
      </c>
      <c r="O5" s="36" t="n">
        <f aca="false">N5*M5*J5</f>
        <v>0.000415520275905355</v>
      </c>
      <c r="P5" s="36" t="n">
        <f aca="false">O5/K5</f>
        <v>0.00184212950170349</v>
      </c>
      <c r="Q5" s="35" t="n">
        <v>5.4</v>
      </c>
      <c r="R5" s="37" t="n">
        <f aca="false">Q5*L5+P5</f>
        <v>0.00308556691535335</v>
      </c>
      <c r="S5" s="38" t="n">
        <v>1</v>
      </c>
      <c r="T5" s="39" t="n">
        <f aca="false">S5*D5*F5</f>
        <v>1684635</v>
      </c>
      <c r="U5" s="40" t="n">
        <v>0.5</v>
      </c>
      <c r="V5" s="39" t="n">
        <f aca="false">T5*K5/(U5*S5)</f>
        <v>759990</v>
      </c>
      <c r="W5" s="38" t="n">
        <v>0.02</v>
      </c>
      <c r="X5" s="41" t="n">
        <f aca="false">(4*W5*D5*F5*S5*K5)/U5</f>
        <v>60799.2</v>
      </c>
      <c r="Y5" s="42" t="n">
        <v>0.05</v>
      </c>
      <c r="Z5" s="41" t="n">
        <f aca="false">X5*Y5</f>
        <v>3039.96</v>
      </c>
      <c r="AA5" s="43" t="n">
        <v>1500000</v>
      </c>
      <c r="AB5" s="8" t="n">
        <f aca="false">S5*AA5*K5*F5*D5/1000000</f>
        <v>569992.5</v>
      </c>
    </row>
    <row r="6" customFormat="false" ht="12.8" hidden="false" customHeight="false" outlineLevel="0" collapsed="false">
      <c r="A6" s="28" t="s">
        <v>36</v>
      </c>
      <c r="B6" s="28" t="s">
        <v>33</v>
      </c>
      <c r="C6" s="28" t="s">
        <v>37</v>
      </c>
      <c r="D6" s="45" t="n">
        <v>1</v>
      </c>
      <c r="E6" s="45" t="n">
        <v>0</v>
      </c>
      <c r="F6" s="30" t="n">
        <v>4163.61</v>
      </c>
      <c r="G6" s="30" t="n">
        <f aca="false">F6+0.4</f>
        <v>4164.01</v>
      </c>
      <c r="H6" s="31" t="n">
        <f aca="false">G6-F6</f>
        <v>0.399999999999636</v>
      </c>
      <c r="I6" s="31" t="n">
        <f aca="false">E6+(H6*D6)/2</f>
        <v>0.199999999999818</v>
      </c>
      <c r="J6" s="32" t="n">
        <f aca="false">I6/(F6*D6)</f>
        <v>4.80352386510307E-005</v>
      </c>
      <c r="K6" s="33" t="n">
        <f aca="false">(88.39365*14)/F6</f>
        <v>0.297220705109268</v>
      </c>
      <c r="L6" s="34" t="n">
        <f aca="false">J6/K6</f>
        <v>0.000161614711981022</v>
      </c>
      <c r="M6" s="35" t="n">
        <v>0</v>
      </c>
      <c r="N6" s="35" t="n">
        <v>1</v>
      </c>
      <c r="O6" s="36" t="n">
        <f aca="false">0.038%*365</f>
        <v>0.1387</v>
      </c>
      <c r="P6" s="36" t="n">
        <f aca="false">O6/K6</f>
        <v>0.466656587565154</v>
      </c>
      <c r="Q6" s="35" t="n">
        <v>5.4</v>
      </c>
      <c r="R6" s="37" t="n">
        <f aca="false">L6+P6</f>
        <v>0.466818202277135</v>
      </c>
      <c r="S6" s="38" t="n">
        <v>1</v>
      </c>
      <c r="T6" s="39" t="n">
        <f aca="false">S6*D6*F6</f>
        <v>4163.61</v>
      </c>
      <c r="U6" s="40" t="n">
        <v>0.5</v>
      </c>
      <c r="V6" s="39" t="n">
        <f aca="false">T6*K6/(U6*S6)</f>
        <v>2475.0222</v>
      </c>
      <c r="W6" s="38" t="n">
        <v>0.5</v>
      </c>
      <c r="X6" s="41" t="n">
        <f aca="false">(4*W6*D6*F6*S6*K6)/U6</f>
        <v>4950.0444</v>
      </c>
      <c r="Y6" s="42" t="n">
        <v>0.05</v>
      </c>
      <c r="Z6" s="41" t="n">
        <f aca="false">X6*Y6</f>
        <v>247.50222</v>
      </c>
      <c r="AA6" s="43" t="n">
        <v>200000</v>
      </c>
      <c r="AB6" s="8" t="n">
        <f aca="false">S6*AA6*K6*F6*D6/1000000</f>
        <v>247.50222</v>
      </c>
    </row>
    <row r="7" customFormat="false" ht="12.8" hidden="false" customHeight="false" outlineLevel="0" collapsed="false">
      <c r="A7" s="28" t="s">
        <v>36</v>
      </c>
      <c r="B7" s="28" t="s">
        <v>35</v>
      </c>
      <c r="C7" s="28" t="s">
        <v>37</v>
      </c>
      <c r="D7" s="46" t="n">
        <v>33.2</v>
      </c>
      <c r="E7" s="46" t="n">
        <v>0</v>
      </c>
      <c r="F7" s="30" t="n">
        <v>4196.65</v>
      </c>
      <c r="G7" s="30" t="n">
        <f aca="false">F7+0.6</f>
        <v>4197.25</v>
      </c>
      <c r="H7" s="31" t="n">
        <f aca="false">G7-F7</f>
        <v>0.600000000000364</v>
      </c>
      <c r="I7" s="31" t="n">
        <f aca="false">E7+(H7*D7)/2</f>
        <v>9.96000000000604</v>
      </c>
      <c r="J7" s="32" t="n">
        <f aca="false">I7/(F7*D7)</f>
        <v>7.1485589696587E-005</v>
      </c>
      <c r="K7" s="33" t="n">
        <f aca="false">(88.39365*14)/F7</f>
        <v>0.294880702465061</v>
      </c>
      <c r="L7" s="34" t="n">
        <f aca="false">J7/K7</f>
        <v>0.000242422067971901</v>
      </c>
      <c r="M7" s="35" t="n">
        <v>4</v>
      </c>
      <c r="N7" s="35" t="n">
        <v>2</v>
      </c>
      <c r="O7" s="36" t="n">
        <f aca="false">N7*M7*J7</f>
        <v>0.000571884717572696</v>
      </c>
      <c r="P7" s="36" t="n">
        <f aca="false">O7/K7</f>
        <v>0.00193937654377521</v>
      </c>
      <c r="Q7" s="35" t="n">
        <v>5.4</v>
      </c>
      <c r="R7" s="37" t="n">
        <f aca="false">Q7*L7+P7</f>
        <v>0.00324845571082347</v>
      </c>
      <c r="S7" s="38" t="n">
        <v>1</v>
      </c>
      <c r="T7" s="39" t="n">
        <f aca="false">S7*D7*F7</f>
        <v>139328.78</v>
      </c>
      <c r="U7" s="40" t="n">
        <v>0.5</v>
      </c>
      <c r="V7" s="39" t="n">
        <f aca="false">T7*K7/(U7*S7)</f>
        <v>82170.73704</v>
      </c>
      <c r="W7" s="38" t="n">
        <v>0.1</v>
      </c>
      <c r="X7" s="41" t="n">
        <f aca="false">(4*W7*D7*F7*S7*K7)/U7</f>
        <v>32868.294816</v>
      </c>
      <c r="Y7" s="42" t="n">
        <v>0.05</v>
      </c>
      <c r="Z7" s="41" t="n">
        <f aca="false">X7*Y7</f>
        <v>1643.4147408</v>
      </c>
      <c r="AA7" s="43" t="n">
        <v>300000</v>
      </c>
      <c r="AB7" s="8" t="n">
        <f aca="false">S7*AA7*K7*F7*D7/1000000</f>
        <v>12325.610556</v>
      </c>
    </row>
    <row r="8" customFormat="false" ht="12.8" hidden="false" customHeight="false" outlineLevel="0" collapsed="false">
      <c r="A8" s="28" t="s">
        <v>36</v>
      </c>
      <c r="B8" s="28" t="s">
        <v>35</v>
      </c>
      <c r="C8" s="28" t="s">
        <v>37</v>
      </c>
      <c r="D8" s="29" t="n">
        <v>100</v>
      </c>
      <c r="E8" s="29" t="n">
        <v>0</v>
      </c>
      <c r="F8" s="30" t="n">
        <v>4196.65</v>
      </c>
      <c r="G8" s="30" t="n">
        <f aca="false">F8+0.6</f>
        <v>4197.25</v>
      </c>
      <c r="H8" s="31" t="n">
        <f aca="false">G8-F8</f>
        <v>0.600000000000364</v>
      </c>
      <c r="I8" s="31" t="n">
        <f aca="false">E8+(H8*D8)/2</f>
        <v>30.0000000000182</v>
      </c>
      <c r="J8" s="32" t="n">
        <f aca="false">I8/(F8*D8)</f>
        <v>7.1485589696587E-005</v>
      </c>
      <c r="K8" s="33" t="n">
        <f aca="false">(88.39365*14)/F8</f>
        <v>0.294880702465061</v>
      </c>
      <c r="L8" s="34" t="n">
        <f aca="false">J8/K8</f>
        <v>0.000242422067971901</v>
      </c>
      <c r="M8" s="35" t="n">
        <v>4</v>
      </c>
      <c r="N8" s="35" t="n">
        <v>2</v>
      </c>
      <c r="O8" s="36" t="n">
        <f aca="false">N8*M8*J8</f>
        <v>0.000571884717572696</v>
      </c>
      <c r="P8" s="36" t="n">
        <f aca="false">O8/K8</f>
        <v>0.00193937654377521</v>
      </c>
      <c r="Q8" s="35" t="n">
        <v>5.4</v>
      </c>
      <c r="R8" s="37" t="n">
        <f aca="false">Q8*L8+P8</f>
        <v>0.00324845571082347</v>
      </c>
      <c r="S8" s="38" t="n">
        <v>1</v>
      </c>
      <c r="T8" s="39" t="n">
        <f aca="false">S8*D8*F8</f>
        <v>419665</v>
      </c>
      <c r="U8" s="40" t="n">
        <v>0.5</v>
      </c>
      <c r="V8" s="39" t="n">
        <f aca="false">T8*K8/(U8*S8)</f>
        <v>247502.22</v>
      </c>
      <c r="W8" s="38" t="n">
        <v>0.1</v>
      </c>
      <c r="X8" s="41" t="n">
        <f aca="false">(4*W8*D8*F8*S8*K8)/U8</f>
        <v>99000.888</v>
      </c>
      <c r="Y8" s="42" t="n">
        <v>0.05</v>
      </c>
      <c r="Z8" s="41" t="n">
        <f aca="false">X8*Y8</f>
        <v>4950.0444</v>
      </c>
      <c r="AA8" s="43" t="n">
        <v>300000</v>
      </c>
      <c r="AB8" s="8" t="n">
        <f aca="false">S8*AA8*K8*F8*D8/1000000</f>
        <v>37125.333</v>
      </c>
    </row>
    <row r="9" customFormat="false" ht="12.8" hidden="false" customHeight="false" outlineLevel="0" collapsed="false">
      <c r="A9" s="28" t="s">
        <v>38</v>
      </c>
      <c r="B9" s="28" t="s">
        <v>33</v>
      </c>
      <c r="C9" s="28" t="s">
        <v>39</v>
      </c>
      <c r="D9" s="41" t="n">
        <v>1000</v>
      </c>
      <c r="E9" s="41"/>
      <c r="F9" s="47"/>
      <c r="G9" s="47"/>
      <c r="H9" s="47"/>
      <c r="I9" s="47"/>
      <c r="J9" s="48"/>
      <c r="K9" s="48"/>
      <c r="L9" s="48"/>
      <c r="M9" s="35"/>
      <c r="N9" s="35"/>
      <c r="O9" s="36"/>
      <c r="P9" s="36"/>
      <c r="Q9" s="35"/>
      <c r="R9" s="37"/>
      <c r="S9" s="35"/>
      <c r="T9" s="35"/>
      <c r="U9" s="36"/>
      <c r="V9" s="39"/>
      <c r="W9" s="35"/>
      <c r="X9" s="41"/>
      <c r="Y9" s="42"/>
      <c r="Z9" s="41"/>
      <c r="AA9" s="41"/>
      <c r="AC9" s="1" t="s">
        <v>40</v>
      </c>
      <c r="AD9" s="8" t="n">
        <v>30000</v>
      </c>
    </row>
    <row r="10" customFormat="false" ht="12.8" hidden="false" customHeight="false" outlineLevel="0" collapsed="false">
      <c r="A10" s="28" t="s">
        <v>38</v>
      </c>
      <c r="B10" s="28" t="s">
        <v>35</v>
      </c>
      <c r="C10" s="28" t="s">
        <v>39</v>
      </c>
      <c r="D10" s="29" t="n">
        <v>200</v>
      </c>
      <c r="E10" s="29" t="n">
        <v>0</v>
      </c>
      <c r="F10" s="30" t="n">
        <v>20.03</v>
      </c>
      <c r="G10" s="30" t="n">
        <v>20.23</v>
      </c>
      <c r="H10" s="31" t="n">
        <f aca="false">G10-F10</f>
        <v>0.199999999999999</v>
      </c>
      <c r="I10" s="31" t="n">
        <f aca="false">E10+(H10*D10)/2</f>
        <v>19.9999999999999</v>
      </c>
      <c r="J10" s="32" t="n">
        <f aca="false">I10/(F10*D10)</f>
        <v>0.00499251123315026</v>
      </c>
      <c r="K10" s="33" t="n">
        <f aca="false">(1.25424*14)/F10</f>
        <v>0.876653020469296</v>
      </c>
      <c r="L10" s="34" t="n">
        <f aca="false">J10/K10</f>
        <v>0.00569496838153553</v>
      </c>
      <c r="M10" s="35" t="n">
        <v>4</v>
      </c>
      <c r="N10" s="35" t="n">
        <v>2</v>
      </c>
      <c r="O10" s="36" t="n">
        <f aca="false">N10*M10*J10</f>
        <v>0.0399400898652021</v>
      </c>
      <c r="P10" s="36" t="n">
        <f aca="false">O10/K10</f>
        <v>0.0455597470522842</v>
      </c>
      <c r="Q10" s="35" t="n">
        <v>5.4</v>
      </c>
      <c r="R10" s="37" t="n">
        <f aca="false">Q10*L10+P10</f>
        <v>0.076312576312576</v>
      </c>
      <c r="S10" s="38" t="n">
        <v>1</v>
      </c>
      <c r="T10" s="39" t="n">
        <f aca="false">S10*D10*F10</f>
        <v>4006</v>
      </c>
      <c r="U10" s="40" t="n">
        <v>0.5</v>
      </c>
      <c r="V10" s="39" t="n">
        <f aca="false">T10*K10/(U10*S10)</f>
        <v>7023.744</v>
      </c>
      <c r="W10" s="38" t="n">
        <v>0.2</v>
      </c>
      <c r="X10" s="41" t="n">
        <f aca="false">(4*W10*D10*F10*S10*K10)/U10</f>
        <v>5618.9952</v>
      </c>
      <c r="Y10" s="42" t="n">
        <v>0.05</v>
      </c>
      <c r="Z10" s="41" t="n">
        <f aca="false">X10*Y10</f>
        <v>280.94976</v>
      </c>
      <c r="AA10" s="43" t="n">
        <v>40000</v>
      </c>
      <c r="AB10" s="8" t="n">
        <f aca="false">S10*AA10*K10*F10*D10/1000000</f>
        <v>140.47488</v>
      </c>
      <c r="AC10" s="1" t="s">
        <v>32</v>
      </c>
      <c r="AD10" s="8" t="n">
        <f aca="false">AD9-X4</f>
        <v>17840.16</v>
      </c>
    </row>
    <row r="11" customFormat="false" ht="12.8" hidden="false" customHeight="false" outlineLevel="0" collapsed="false">
      <c r="A11" s="28" t="s">
        <v>38</v>
      </c>
      <c r="B11" s="28" t="s">
        <v>35</v>
      </c>
      <c r="C11" s="28" t="s">
        <v>39</v>
      </c>
      <c r="D11" s="29" t="n">
        <v>1000</v>
      </c>
      <c r="E11" s="29" t="n">
        <v>0</v>
      </c>
      <c r="F11" s="30" t="n">
        <v>20.03</v>
      </c>
      <c r="G11" s="30" t="n">
        <v>20.23</v>
      </c>
      <c r="H11" s="31" t="n">
        <f aca="false">G11-F11</f>
        <v>0.199999999999999</v>
      </c>
      <c r="I11" s="31" t="n">
        <f aca="false">E11+(H11*D11)/2</f>
        <v>99.9999999999996</v>
      </c>
      <c r="J11" s="32" t="n">
        <f aca="false">I11/(F11*D11)</f>
        <v>0.00499251123315026</v>
      </c>
      <c r="K11" s="33" t="n">
        <f aca="false">(1.25424*14)/F11</f>
        <v>0.876653020469296</v>
      </c>
      <c r="L11" s="34" t="n">
        <f aca="false">J11/K11</f>
        <v>0.00569496838153553</v>
      </c>
      <c r="M11" s="35" t="n">
        <v>4</v>
      </c>
      <c r="N11" s="35" t="n">
        <v>2</v>
      </c>
      <c r="O11" s="36" t="n">
        <f aca="false">N11*M11*J11</f>
        <v>0.0399400898652021</v>
      </c>
      <c r="P11" s="36" t="n">
        <f aca="false">O11/K11</f>
        <v>0.0455597470522842</v>
      </c>
      <c r="Q11" s="35" t="n">
        <v>5.4</v>
      </c>
      <c r="R11" s="37" t="n">
        <f aca="false">Q11*L11+P11</f>
        <v>0.076312576312576</v>
      </c>
      <c r="S11" s="38" t="n">
        <v>1</v>
      </c>
      <c r="T11" s="39" t="n">
        <f aca="false">S11*D11*F11</f>
        <v>20030</v>
      </c>
      <c r="U11" s="40" t="n">
        <v>0.5</v>
      </c>
      <c r="V11" s="39" t="n">
        <f aca="false">T11*K11/(U11*S11)</f>
        <v>35118.72</v>
      </c>
      <c r="W11" s="38" t="n">
        <v>0.2</v>
      </c>
      <c r="X11" s="41" t="n">
        <f aca="false">(4*W11*D11*F11*S11*K11)/U11</f>
        <v>28094.976</v>
      </c>
      <c r="Y11" s="42" t="n">
        <v>0.05</v>
      </c>
      <c r="Z11" s="41" t="n">
        <f aca="false">X11*Y11</f>
        <v>1404.7488</v>
      </c>
      <c r="AA11" s="43" t="n">
        <v>40000</v>
      </c>
      <c r="AB11" s="8" t="n">
        <f aca="false">S11*AA11*K11*F11*D11/1000000</f>
        <v>702.3744</v>
      </c>
      <c r="AC11" s="1" t="s">
        <v>41</v>
      </c>
      <c r="AD11" s="8" t="n">
        <f aca="false">AD10-X10</f>
        <v>12221.1648</v>
      </c>
    </row>
    <row r="12" customFormat="false" ht="12.8" hidden="false" customHeight="false" outlineLevel="0" collapsed="false">
      <c r="A12" s="28" t="s">
        <v>42</v>
      </c>
      <c r="B12" s="28"/>
      <c r="C12" s="28" t="s">
        <v>43</v>
      </c>
      <c r="D12" s="41"/>
      <c r="E12" s="41"/>
      <c r="F12" s="47"/>
      <c r="G12" s="47"/>
      <c r="H12" s="47"/>
      <c r="I12" s="47"/>
      <c r="J12" s="48"/>
      <c r="K12" s="48"/>
      <c r="L12" s="48"/>
      <c r="M12" s="35"/>
      <c r="N12" s="35"/>
      <c r="O12" s="36"/>
      <c r="P12" s="36"/>
      <c r="Q12" s="35"/>
      <c r="R12" s="37"/>
      <c r="S12" s="35"/>
      <c r="T12" s="35"/>
      <c r="U12" s="36"/>
      <c r="V12" s="39"/>
      <c r="W12" s="35"/>
      <c r="X12" s="41"/>
      <c r="Y12" s="42"/>
      <c r="Z12" s="41"/>
      <c r="AA12" s="41"/>
      <c r="AC12" s="1" t="s">
        <v>36</v>
      </c>
      <c r="AD12" s="8"/>
    </row>
    <row r="13" customFormat="false" ht="12.8" hidden="false" customHeight="false" outlineLevel="0" collapsed="false">
      <c r="A13" s="28" t="s">
        <v>44</v>
      </c>
      <c r="B13" s="49" t="s">
        <v>45</v>
      </c>
      <c r="C13" s="28" t="s">
        <v>46</v>
      </c>
      <c r="D13" s="41" t="n">
        <v>1000000</v>
      </c>
      <c r="E13" s="41"/>
      <c r="F13" s="47"/>
      <c r="G13" s="47"/>
      <c r="H13" s="47"/>
      <c r="I13" s="47"/>
      <c r="J13" s="48"/>
      <c r="K13" s="48"/>
      <c r="L13" s="48"/>
      <c r="M13" s="35"/>
      <c r="N13" s="35"/>
      <c r="O13" s="36"/>
      <c r="P13" s="36"/>
      <c r="Q13" s="35"/>
      <c r="R13" s="37"/>
      <c r="S13" s="35"/>
      <c r="T13" s="35"/>
      <c r="U13" s="36"/>
      <c r="V13" s="39"/>
      <c r="W13" s="35"/>
      <c r="X13" s="41"/>
      <c r="Y13" s="42"/>
      <c r="Z13" s="41"/>
      <c r="AA13" s="41"/>
      <c r="AC13" s="0"/>
    </row>
    <row r="14" customFormat="false" ht="12.8" hidden="false" customHeight="false" outlineLevel="0" collapsed="false">
      <c r="A14" s="28" t="s">
        <v>44</v>
      </c>
      <c r="B14" s="49" t="s">
        <v>47</v>
      </c>
      <c r="C14" s="28" t="s">
        <v>46</v>
      </c>
      <c r="D14" s="41" t="n">
        <v>100000</v>
      </c>
      <c r="E14" s="41"/>
      <c r="F14" s="47"/>
      <c r="G14" s="47"/>
      <c r="H14" s="47"/>
      <c r="I14" s="47"/>
      <c r="J14" s="48"/>
      <c r="K14" s="48"/>
      <c r="L14" s="48"/>
      <c r="M14" s="35"/>
      <c r="N14" s="35"/>
      <c r="O14" s="36"/>
      <c r="P14" s="36"/>
      <c r="Q14" s="35"/>
      <c r="R14" s="37"/>
      <c r="S14" s="35"/>
      <c r="T14" s="35"/>
      <c r="U14" s="36"/>
      <c r="V14" s="39"/>
      <c r="W14" s="35"/>
      <c r="X14" s="41"/>
      <c r="Y14" s="42"/>
      <c r="Z14" s="41"/>
      <c r="AA14" s="41"/>
    </row>
    <row r="15" customFormat="false" ht="12.8" hidden="false" customHeight="false" outlineLevel="0" collapsed="false">
      <c r="A15" s="28" t="s">
        <v>48</v>
      </c>
      <c r="B15" s="49" t="s">
        <v>45</v>
      </c>
      <c r="C15" s="28" t="s">
        <v>49</v>
      </c>
      <c r="D15" s="41" t="n">
        <v>1</v>
      </c>
      <c r="E15" s="41"/>
      <c r="F15" s="47"/>
      <c r="G15" s="47"/>
      <c r="H15" s="47"/>
      <c r="I15" s="47"/>
      <c r="J15" s="48"/>
      <c r="K15" s="48"/>
      <c r="L15" s="48"/>
      <c r="M15" s="35"/>
      <c r="N15" s="35"/>
      <c r="O15" s="36"/>
      <c r="P15" s="36"/>
      <c r="Q15" s="35"/>
      <c r="R15" s="37"/>
      <c r="S15" s="35"/>
      <c r="T15" s="35"/>
      <c r="U15" s="36"/>
      <c r="V15" s="39"/>
      <c r="W15" s="35"/>
      <c r="X15" s="41"/>
      <c r="Y15" s="42"/>
      <c r="Z15" s="41"/>
      <c r="AA15" s="41"/>
    </row>
    <row r="16" customFormat="false" ht="12.8" hidden="false" customHeight="false" outlineLevel="0" collapsed="false">
      <c r="A16" s="28" t="s">
        <v>48</v>
      </c>
      <c r="B16" s="49" t="s">
        <v>47</v>
      </c>
      <c r="C16" s="28" t="s">
        <v>49</v>
      </c>
      <c r="D16" s="50" t="n">
        <v>0.1</v>
      </c>
      <c r="E16" s="50"/>
      <c r="F16" s="47"/>
      <c r="G16" s="47"/>
      <c r="H16" s="47"/>
      <c r="I16" s="47"/>
      <c r="J16" s="48"/>
      <c r="K16" s="48"/>
      <c r="L16" s="48"/>
      <c r="M16" s="35"/>
      <c r="N16" s="35"/>
      <c r="O16" s="36"/>
      <c r="P16" s="36"/>
      <c r="Q16" s="35"/>
      <c r="R16" s="37"/>
      <c r="S16" s="35"/>
      <c r="T16" s="35"/>
      <c r="U16" s="36"/>
      <c r="V16" s="39"/>
      <c r="W16" s="35"/>
      <c r="X16" s="41"/>
      <c r="Y16" s="42"/>
      <c r="Z16" s="41"/>
      <c r="AA16" s="41"/>
    </row>
    <row r="17" customFormat="false" ht="12.8" hidden="false" customHeight="false" outlineLevel="0" collapsed="false">
      <c r="A17" s="51" t="s">
        <v>50</v>
      </c>
      <c r="B17" s="49" t="s">
        <v>45</v>
      </c>
      <c r="C17" s="28" t="s">
        <v>49</v>
      </c>
      <c r="D17" s="41" t="n">
        <v>1</v>
      </c>
      <c r="E17" s="41"/>
      <c r="F17" s="47"/>
      <c r="G17" s="47"/>
      <c r="H17" s="47"/>
      <c r="I17" s="47"/>
      <c r="J17" s="48"/>
      <c r="K17" s="48"/>
      <c r="L17" s="48"/>
      <c r="M17" s="35"/>
      <c r="N17" s="35"/>
      <c r="O17" s="36"/>
      <c r="P17" s="36"/>
      <c r="Q17" s="35"/>
      <c r="R17" s="37"/>
      <c r="S17" s="35"/>
      <c r="T17" s="35"/>
      <c r="U17" s="36"/>
      <c r="V17" s="39"/>
      <c r="W17" s="35"/>
      <c r="X17" s="41"/>
      <c r="Y17" s="42"/>
      <c r="Z17" s="41"/>
      <c r="AA17" s="41"/>
    </row>
    <row r="18" customFormat="false" ht="23.85" hidden="false" customHeight="false" outlineLevel="0" collapsed="false">
      <c r="A18" s="28" t="s">
        <v>51</v>
      </c>
      <c r="B18" s="49" t="s">
        <v>45</v>
      </c>
      <c r="C18" s="28" t="s">
        <v>49</v>
      </c>
      <c r="D18" s="41" t="n">
        <v>1</v>
      </c>
      <c r="E18" s="41"/>
      <c r="F18" s="47"/>
      <c r="G18" s="47"/>
      <c r="H18" s="47"/>
      <c r="I18" s="47"/>
      <c r="J18" s="48"/>
      <c r="K18" s="48"/>
      <c r="L18" s="48"/>
      <c r="M18" s="35"/>
      <c r="N18" s="35"/>
      <c r="O18" s="36"/>
      <c r="P18" s="36"/>
      <c r="Q18" s="35"/>
      <c r="R18" s="37"/>
      <c r="S18" s="35"/>
      <c r="T18" s="35"/>
      <c r="U18" s="36"/>
      <c r="V18" s="39"/>
      <c r="W18" s="35"/>
      <c r="X18" s="41"/>
      <c r="Y18" s="42"/>
      <c r="Z18" s="41"/>
      <c r="AA18" s="41"/>
    </row>
    <row r="19" customFormat="false" ht="23.85" hidden="false" customHeight="false" outlineLevel="0" collapsed="false">
      <c r="A19" s="28"/>
      <c r="B19" s="28"/>
      <c r="C19" s="28" t="s">
        <v>52</v>
      </c>
      <c r="D19" s="41"/>
      <c r="E19" s="41"/>
      <c r="F19" s="47"/>
      <c r="G19" s="47"/>
      <c r="H19" s="47"/>
      <c r="I19" s="47"/>
      <c r="J19" s="48"/>
      <c r="K19" s="48"/>
      <c r="L19" s="48"/>
      <c r="M19" s="35"/>
      <c r="N19" s="35"/>
      <c r="O19" s="36"/>
      <c r="P19" s="36"/>
      <c r="Q19" s="35"/>
      <c r="R19" s="37"/>
      <c r="S19" s="35"/>
      <c r="T19" s="35"/>
      <c r="U19" s="36"/>
      <c r="V19" s="39"/>
      <c r="W19" s="35"/>
      <c r="X19" s="41"/>
      <c r="Y19" s="42"/>
      <c r="Z19" s="41"/>
      <c r="AA19" s="41"/>
    </row>
    <row r="20" customFormat="false" ht="12.8" hidden="false" customHeight="false" outlineLevel="0" collapsed="false">
      <c r="A20" s="52"/>
      <c r="B20" s="52"/>
      <c r="C20" s="52"/>
      <c r="D20" s="53"/>
      <c r="E20" s="53"/>
      <c r="F20" s="54"/>
      <c r="G20" s="54"/>
      <c r="H20" s="54"/>
      <c r="I20" s="54"/>
      <c r="J20" s="55"/>
      <c r="K20" s="55"/>
      <c r="L20" s="55"/>
      <c r="M20" s="56"/>
      <c r="N20" s="56"/>
      <c r="O20" s="57"/>
      <c r="P20" s="57"/>
      <c r="Q20" s="56"/>
      <c r="R20" s="58"/>
      <c r="S20" s="56"/>
      <c r="T20" s="56"/>
      <c r="U20" s="57"/>
      <c r="V20" s="59"/>
      <c r="W20" s="56"/>
      <c r="X20" s="53"/>
      <c r="Y20" s="60"/>
      <c r="Z20" s="53"/>
      <c r="AA20" s="53"/>
    </row>
    <row r="21" customFormat="false" ht="12.8" hidden="false" customHeight="false" outlineLevel="0" collapsed="false">
      <c r="A21" s="52"/>
      <c r="B21" s="52"/>
      <c r="C21" s="52"/>
      <c r="D21" s="53"/>
      <c r="E21" s="53"/>
      <c r="F21" s="54"/>
      <c r="G21" s="54"/>
      <c r="H21" s="54"/>
      <c r="I21" s="54"/>
      <c r="J21" s="55"/>
      <c r="K21" s="55"/>
      <c r="L21" s="55"/>
      <c r="M21" s="56"/>
      <c r="N21" s="56"/>
      <c r="O21" s="57"/>
      <c r="P21" s="57"/>
      <c r="Q21" s="56"/>
      <c r="R21" s="58"/>
      <c r="S21" s="56"/>
      <c r="T21" s="56"/>
      <c r="U21" s="57"/>
      <c r="V21" s="59"/>
      <c r="W21" s="56"/>
      <c r="X21" s="53"/>
      <c r="Y21" s="60"/>
      <c r="Z21" s="53"/>
      <c r="AA21" s="53"/>
    </row>
    <row r="22" customFormat="false" ht="12.8" hidden="false" customHeight="false" outlineLevel="0" collapsed="false">
      <c r="A22" s="52"/>
      <c r="B22" s="52"/>
      <c r="C22" s="52"/>
      <c r="D22" s="53"/>
      <c r="E22" s="53"/>
      <c r="F22" s="54"/>
      <c r="G22" s="54"/>
      <c r="H22" s="54"/>
      <c r="I22" s="54"/>
      <c r="J22" s="55"/>
      <c r="K22" s="55"/>
      <c r="L22" s="55"/>
      <c r="M22" s="56"/>
      <c r="N22" s="56"/>
      <c r="O22" s="57"/>
      <c r="P22" s="57"/>
      <c r="Q22" s="56"/>
      <c r="R22" s="58"/>
      <c r="S22" s="56"/>
      <c r="T22" s="56"/>
      <c r="U22" s="57"/>
      <c r="V22" s="59"/>
      <c r="W22" s="56"/>
      <c r="X22" s="53"/>
      <c r="Y22" s="60"/>
      <c r="Z22" s="53"/>
      <c r="AA22" s="53"/>
    </row>
    <row r="23" customFormat="false" ht="12.8" hidden="false" customHeight="false" outlineLevel="0" collapsed="false">
      <c r="A23" s="52"/>
      <c r="B23" s="52"/>
      <c r="C23" s="52"/>
      <c r="D23" s="53"/>
      <c r="E23" s="53"/>
      <c r="F23" s="54"/>
      <c r="G23" s="54"/>
      <c r="H23" s="54"/>
      <c r="I23" s="54"/>
      <c r="J23" s="55"/>
      <c r="K23" s="55"/>
      <c r="L23" s="55"/>
      <c r="M23" s="56"/>
      <c r="N23" s="56"/>
      <c r="O23" s="57"/>
      <c r="P23" s="57"/>
      <c r="Q23" s="56"/>
      <c r="R23" s="58"/>
      <c r="S23" s="56"/>
      <c r="T23" s="56"/>
      <c r="U23" s="57"/>
      <c r="V23" s="59"/>
      <c r="W23" s="56"/>
      <c r="X23" s="53"/>
      <c r="Y23" s="60"/>
      <c r="Z23" s="53"/>
      <c r="AA23" s="53"/>
    </row>
    <row r="24" customFormat="false" ht="12.8" hidden="false" customHeight="false" outlineLevel="0" collapsed="false">
      <c r="A24" s="52"/>
      <c r="B24" s="52"/>
      <c r="C24" s="52"/>
      <c r="D24" s="53"/>
      <c r="E24" s="53"/>
      <c r="F24" s="54"/>
      <c r="G24" s="54"/>
      <c r="H24" s="54"/>
      <c r="I24" s="54"/>
      <c r="J24" s="55"/>
      <c r="K24" s="55"/>
      <c r="L24" s="55"/>
      <c r="M24" s="56"/>
      <c r="N24" s="56"/>
      <c r="O24" s="57"/>
      <c r="P24" s="57"/>
      <c r="Q24" s="56"/>
      <c r="R24" s="58"/>
      <c r="S24" s="56"/>
      <c r="T24" s="56"/>
      <c r="U24" s="57"/>
      <c r="V24" s="59"/>
      <c r="W24" s="56"/>
      <c r="X24" s="53"/>
      <c r="Y24" s="60"/>
      <c r="Z24" s="53"/>
      <c r="AA24" s="53"/>
    </row>
    <row r="25" customFormat="false" ht="12.8" hidden="false" customHeight="false" outlineLevel="0" collapsed="false">
      <c r="A25" s="52"/>
      <c r="B25" s="52"/>
      <c r="C25" s="52"/>
      <c r="D25" s="53"/>
      <c r="E25" s="53"/>
      <c r="F25" s="54"/>
      <c r="G25" s="54"/>
      <c r="H25" s="54"/>
      <c r="I25" s="54"/>
      <c r="J25" s="55"/>
      <c r="K25" s="55"/>
      <c r="L25" s="55"/>
      <c r="M25" s="56"/>
      <c r="N25" s="56"/>
      <c r="O25" s="57"/>
      <c r="P25" s="57"/>
      <c r="Q25" s="56"/>
      <c r="R25" s="58"/>
      <c r="S25" s="56"/>
      <c r="T25" s="56"/>
      <c r="U25" s="57"/>
      <c r="V25" s="59"/>
      <c r="W25" s="56"/>
      <c r="X25" s="53"/>
      <c r="Y25" s="60"/>
      <c r="Z25" s="53"/>
      <c r="AA25" s="53"/>
    </row>
    <row r="26" customFormat="false" ht="12.8" hidden="false" customHeight="false" outlineLevel="0" collapsed="false">
      <c r="A26" s="52"/>
      <c r="B26" s="52"/>
      <c r="C26" s="52"/>
      <c r="D26" s="53"/>
      <c r="E26" s="53"/>
      <c r="F26" s="54"/>
      <c r="G26" s="54"/>
      <c r="H26" s="54"/>
      <c r="I26" s="54"/>
      <c r="J26" s="55"/>
      <c r="K26" s="55"/>
      <c r="L26" s="55"/>
      <c r="M26" s="56"/>
      <c r="N26" s="56"/>
      <c r="O26" s="57"/>
      <c r="P26" s="57"/>
      <c r="Q26" s="56"/>
      <c r="R26" s="58"/>
      <c r="S26" s="56"/>
      <c r="T26" s="56"/>
      <c r="U26" s="57"/>
      <c r="V26" s="59"/>
      <c r="W26" s="56"/>
      <c r="X26" s="53"/>
      <c r="Y26" s="60"/>
      <c r="Z26" s="53"/>
      <c r="AA26" s="53"/>
    </row>
    <row r="27" customFormat="false" ht="12.8" hidden="false" customHeight="false" outlineLevel="0" collapsed="false">
      <c r="A27" s="52"/>
      <c r="B27" s="52"/>
      <c r="C27" s="52"/>
      <c r="D27" s="53"/>
      <c r="E27" s="53"/>
      <c r="F27" s="54"/>
      <c r="G27" s="54"/>
      <c r="H27" s="54"/>
      <c r="I27" s="54"/>
      <c r="J27" s="55"/>
      <c r="K27" s="55"/>
      <c r="L27" s="55"/>
      <c r="M27" s="56"/>
      <c r="N27" s="56"/>
      <c r="O27" s="57"/>
      <c r="P27" s="57"/>
      <c r="Q27" s="56"/>
      <c r="R27" s="58"/>
      <c r="S27" s="56"/>
      <c r="T27" s="56"/>
      <c r="U27" s="57"/>
      <c r="V27" s="59"/>
      <c r="W27" s="56"/>
      <c r="X27" s="53"/>
      <c r="Y27" s="60"/>
      <c r="Z27" s="53"/>
      <c r="AA27" s="53"/>
    </row>
    <row r="28" customFormat="false" ht="12.8" hidden="false" customHeight="false" outlineLevel="0" collapsed="false">
      <c r="A28" s="52"/>
      <c r="B28" s="52"/>
      <c r="C28" s="52"/>
      <c r="D28" s="53"/>
      <c r="E28" s="53"/>
      <c r="F28" s="54"/>
      <c r="G28" s="54"/>
      <c r="H28" s="54"/>
      <c r="I28" s="54"/>
      <c r="J28" s="55"/>
      <c r="K28" s="55"/>
      <c r="L28" s="55"/>
      <c r="M28" s="56"/>
      <c r="N28" s="56"/>
      <c r="O28" s="57"/>
      <c r="P28" s="57"/>
      <c r="Q28" s="56"/>
      <c r="R28" s="58"/>
      <c r="S28" s="56"/>
      <c r="T28" s="56"/>
      <c r="U28" s="57"/>
      <c r="V28" s="59"/>
      <c r="W28" s="56"/>
      <c r="X28" s="53"/>
      <c r="Y28" s="60"/>
      <c r="Z28" s="53"/>
      <c r="AA28" s="53"/>
    </row>
    <row r="29" customFormat="false" ht="12.8" hidden="false" customHeight="false" outlineLevel="0" collapsed="false">
      <c r="A29" s="52"/>
      <c r="B29" s="52"/>
      <c r="C29" s="52"/>
      <c r="D29" s="53"/>
      <c r="E29" s="53"/>
      <c r="F29" s="54"/>
      <c r="G29" s="54"/>
      <c r="H29" s="54"/>
      <c r="I29" s="54"/>
      <c r="J29" s="55"/>
      <c r="K29" s="55"/>
      <c r="L29" s="55"/>
      <c r="M29" s="56"/>
      <c r="N29" s="56"/>
      <c r="O29" s="57"/>
      <c r="P29" s="57"/>
      <c r="Q29" s="56"/>
      <c r="R29" s="58"/>
      <c r="S29" s="56"/>
      <c r="T29" s="56"/>
      <c r="U29" s="57"/>
      <c r="V29" s="59"/>
      <c r="W29" s="56"/>
      <c r="X29" s="53"/>
      <c r="Y29" s="60"/>
      <c r="Z29" s="53"/>
      <c r="AA29" s="53"/>
    </row>
    <row r="30" customFormat="false" ht="12.8" hidden="false" customHeight="false" outlineLevel="0" collapsed="false">
      <c r="A30" s="52"/>
      <c r="B30" s="52"/>
      <c r="C30" s="52"/>
      <c r="D30" s="53"/>
      <c r="E30" s="53"/>
      <c r="F30" s="54"/>
      <c r="G30" s="54"/>
      <c r="H30" s="54"/>
      <c r="I30" s="54"/>
      <c r="J30" s="55"/>
      <c r="K30" s="55"/>
      <c r="L30" s="55"/>
      <c r="M30" s="56"/>
      <c r="N30" s="56"/>
      <c r="O30" s="57"/>
      <c r="P30" s="57"/>
      <c r="Q30" s="56"/>
      <c r="R30" s="58"/>
      <c r="S30" s="56"/>
      <c r="T30" s="56"/>
      <c r="U30" s="57"/>
      <c r="V30" s="59"/>
      <c r="W30" s="56"/>
      <c r="X30" s="53"/>
      <c r="Y30" s="60"/>
      <c r="Z30" s="53"/>
      <c r="AA30" s="53"/>
    </row>
    <row r="31" customFormat="false" ht="12.8" hidden="false" customHeight="false" outlineLevel="0" collapsed="false">
      <c r="A31" s="52"/>
      <c r="B31" s="52"/>
      <c r="C31" s="52"/>
      <c r="D31" s="53"/>
      <c r="E31" s="53"/>
      <c r="F31" s="54"/>
      <c r="G31" s="54"/>
      <c r="H31" s="54"/>
      <c r="I31" s="54"/>
      <c r="J31" s="55"/>
      <c r="K31" s="55"/>
      <c r="L31" s="55"/>
      <c r="M31" s="56"/>
      <c r="N31" s="56"/>
      <c r="O31" s="57"/>
      <c r="P31" s="57"/>
      <c r="Q31" s="56"/>
      <c r="R31" s="58"/>
      <c r="S31" s="56"/>
      <c r="T31" s="56"/>
      <c r="U31" s="57"/>
      <c r="V31" s="59"/>
      <c r="W31" s="56"/>
      <c r="X31" s="53"/>
      <c r="Y31" s="60"/>
      <c r="Z31" s="53"/>
      <c r="AA31" s="53"/>
    </row>
    <row r="32" customFormat="false" ht="12.8" hidden="false" customHeight="false" outlineLevel="0" collapsed="false">
      <c r="A32" s="52"/>
      <c r="B32" s="52"/>
      <c r="C32" s="52"/>
      <c r="D32" s="53"/>
      <c r="E32" s="53"/>
      <c r="F32" s="54"/>
      <c r="G32" s="54"/>
      <c r="H32" s="54"/>
      <c r="I32" s="54"/>
      <c r="J32" s="55"/>
      <c r="K32" s="55"/>
      <c r="L32" s="55"/>
      <c r="M32" s="56"/>
      <c r="N32" s="56"/>
      <c r="O32" s="57"/>
      <c r="P32" s="57"/>
      <c r="Q32" s="56"/>
      <c r="R32" s="58"/>
      <c r="S32" s="56"/>
      <c r="T32" s="56"/>
      <c r="U32" s="57"/>
      <c r="V32" s="59"/>
      <c r="W32" s="56"/>
      <c r="X32" s="53"/>
      <c r="Y32" s="60"/>
      <c r="Z32" s="53"/>
      <c r="AA32" s="53"/>
    </row>
    <row r="33" customFormat="false" ht="12.8" hidden="false" customHeight="false" outlineLevel="0" collapsed="false">
      <c r="A33" s="52"/>
      <c r="B33" s="52"/>
      <c r="C33" s="52"/>
      <c r="D33" s="53"/>
      <c r="E33" s="53"/>
      <c r="F33" s="54"/>
      <c r="G33" s="54"/>
      <c r="H33" s="54"/>
      <c r="I33" s="54"/>
      <c r="J33" s="55"/>
      <c r="K33" s="55"/>
      <c r="L33" s="55"/>
      <c r="M33" s="56"/>
      <c r="N33" s="56"/>
      <c r="O33" s="57"/>
      <c r="P33" s="57"/>
      <c r="Q33" s="56"/>
      <c r="R33" s="58"/>
      <c r="S33" s="56"/>
      <c r="T33" s="56"/>
      <c r="U33" s="57"/>
      <c r="V33" s="59"/>
      <c r="W33" s="56"/>
      <c r="X33" s="53"/>
      <c r="Y33" s="60"/>
      <c r="Z33" s="53"/>
      <c r="AA33" s="53"/>
    </row>
    <row r="34" customFormat="false" ht="12.8" hidden="false" customHeight="false" outlineLevel="0" collapsed="false">
      <c r="A34" s="52"/>
      <c r="B34" s="52"/>
      <c r="C34" s="52"/>
      <c r="D34" s="53"/>
      <c r="E34" s="53"/>
      <c r="F34" s="54"/>
      <c r="G34" s="54"/>
      <c r="H34" s="54"/>
      <c r="I34" s="54"/>
      <c r="J34" s="55"/>
      <c r="K34" s="55"/>
      <c r="L34" s="55"/>
      <c r="M34" s="56"/>
      <c r="N34" s="56"/>
      <c r="O34" s="57"/>
      <c r="P34" s="57"/>
      <c r="Q34" s="56"/>
      <c r="R34" s="58"/>
      <c r="S34" s="56"/>
      <c r="T34" s="56"/>
      <c r="U34" s="57"/>
      <c r="V34" s="59"/>
      <c r="W34" s="56"/>
      <c r="X34" s="53"/>
      <c r="Y34" s="60"/>
      <c r="Z34" s="53"/>
      <c r="AA34" s="53"/>
    </row>
    <row r="35" customFormat="false" ht="12.8" hidden="false" customHeight="false" outlineLevel="0" collapsed="false">
      <c r="A35" s="52"/>
      <c r="B35" s="52"/>
      <c r="C35" s="52"/>
      <c r="D35" s="53"/>
      <c r="E35" s="53"/>
      <c r="F35" s="54"/>
      <c r="G35" s="54"/>
      <c r="H35" s="54"/>
      <c r="I35" s="54"/>
      <c r="J35" s="55"/>
      <c r="K35" s="55"/>
      <c r="L35" s="55"/>
      <c r="M35" s="56"/>
      <c r="N35" s="56"/>
      <c r="O35" s="57"/>
      <c r="P35" s="57"/>
      <c r="Q35" s="56"/>
      <c r="R35" s="58"/>
      <c r="S35" s="56"/>
      <c r="T35" s="56"/>
      <c r="U35" s="57"/>
      <c r="V35" s="59"/>
      <c r="W35" s="56"/>
      <c r="X35" s="53"/>
      <c r="Y35" s="60"/>
      <c r="Z35" s="53"/>
      <c r="AA35" s="53"/>
    </row>
    <row r="36" customFormat="false" ht="12.8" hidden="false" customHeight="false" outlineLevel="0" collapsed="false">
      <c r="A36" s="52"/>
      <c r="B36" s="52"/>
      <c r="C36" s="52"/>
      <c r="D36" s="53"/>
      <c r="E36" s="53"/>
      <c r="F36" s="54"/>
      <c r="G36" s="54"/>
      <c r="H36" s="54"/>
      <c r="I36" s="54"/>
      <c r="J36" s="55"/>
      <c r="K36" s="55"/>
      <c r="L36" s="55"/>
      <c r="M36" s="56"/>
      <c r="N36" s="56"/>
      <c r="O36" s="57"/>
      <c r="P36" s="57"/>
      <c r="Q36" s="56"/>
      <c r="R36" s="58"/>
      <c r="S36" s="56"/>
      <c r="T36" s="56"/>
      <c r="U36" s="57"/>
      <c r="V36" s="59"/>
      <c r="W36" s="56"/>
      <c r="X36" s="53"/>
      <c r="Y36" s="60"/>
      <c r="Z36" s="53"/>
      <c r="AA36" s="53"/>
    </row>
    <row r="37" customFormat="false" ht="12.8" hidden="false" customHeight="false" outlineLevel="0" collapsed="false">
      <c r="A37" s="52"/>
      <c r="B37" s="52"/>
      <c r="C37" s="52"/>
      <c r="D37" s="53"/>
      <c r="E37" s="53"/>
      <c r="F37" s="54"/>
      <c r="G37" s="54"/>
      <c r="H37" s="54"/>
      <c r="I37" s="54"/>
      <c r="J37" s="55"/>
      <c r="K37" s="55"/>
      <c r="L37" s="55"/>
      <c r="M37" s="56"/>
      <c r="N37" s="56"/>
      <c r="O37" s="57"/>
      <c r="P37" s="57"/>
      <c r="Q37" s="56"/>
      <c r="R37" s="58"/>
      <c r="S37" s="56"/>
      <c r="T37" s="56"/>
      <c r="U37" s="57"/>
      <c r="V37" s="59"/>
      <c r="W37" s="56"/>
      <c r="X37" s="53"/>
      <c r="Y37" s="60"/>
      <c r="Z37" s="53"/>
      <c r="AA37" s="53"/>
    </row>
    <row r="38" customFormat="false" ht="12.8" hidden="false" customHeight="false" outlineLevel="0" collapsed="false">
      <c r="A38" s="52"/>
      <c r="B38" s="52"/>
      <c r="C38" s="52"/>
      <c r="D38" s="53"/>
      <c r="E38" s="53"/>
      <c r="F38" s="54"/>
      <c r="G38" s="54"/>
      <c r="H38" s="54"/>
      <c r="I38" s="54"/>
      <c r="J38" s="55"/>
      <c r="K38" s="55"/>
      <c r="L38" s="55"/>
      <c r="M38" s="56"/>
      <c r="N38" s="56"/>
      <c r="O38" s="57"/>
      <c r="P38" s="57"/>
      <c r="Q38" s="56"/>
      <c r="R38" s="58"/>
      <c r="S38" s="56"/>
      <c r="T38" s="56"/>
      <c r="U38" s="57"/>
      <c r="V38" s="59"/>
      <c r="W38" s="56"/>
      <c r="X38" s="53"/>
      <c r="Y38" s="60"/>
      <c r="Z38" s="53"/>
      <c r="AA38" s="53"/>
    </row>
    <row r="39" customFormat="false" ht="12.8" hidden="false" customHeight="false" outlineLevel="0" collapsed="false">
      <c r="A39" s="52"/>
      <c r="B39" s="52"/>
      <c r="C39" s="52"/>
      <c r="D39" s="53"/>
      <c r="E39" s="53"/>
      <c r="F39" s="54"/>
      <c r="G39" s="54"/>
      <c r="H39" s="54"/>
      <c r="I39" s="54"/>
      <c r="J39" s="55"/>
      <c r="K39" s="55"/>
      <c r="L39" s="55"/>
      <c r="M39" s="56"/>
      <c r="N39" s="56"/>
      <c r="O39" s="57"/>
      <c r="P39" s="57"/>
      <c r="Q39" s="56"/>
      <c r="R39" s="58"/>
      <c r="S39" s="56"/>
      <c r="T39" s="56"/>
      <c r="U39" s="57"/>
      <c r="V39" s="59"/>
      <c r="W39" s="56"/>
      <c r="X39" s="53"/>
      <c r="Y39" s="60"/>
      <c r="Z39" s="53"/>
      <c r="AA39" s="53"/>
    </row>
    <row r="40" customFormat="false" ht="12.8" hidden="false" customHeight="false" outlineLevel="0" collapsed="false">
      <c r="A40" s="52"/>
      <c r="B40" s="52"/>
      <c r="C40" s="52"/>
      <c r="D40" s="53"/>
      <c r="E40" s="53"/>
      <c r="F40" s="54"/>
      <c r="G40" s="54"/>
      <c r="H40" s="54"/>
      <c r="I40" s="54"/>
      <c r="J40" s="55"/>
      <c r="K40" s="55"/>
      <c r="L40" s="55"/>
      <c r="M40" s="56"/>
      <c r="N40" s="56"/>
      <c r="O40" s="57"/>
      <c r="P40" s="57"/>
      <c r="Q40" s="56"/>
      <c r="R40" s="58"/>
      <c r="S40" s="56"/>
      <c r="T40" s="56"/>
      <c r="U40" s="57"/>
      <c r="V40" s="59"/>
      <c r="W40" s="56"/>
      <c r="X40" s="53"/>
      <c r="Y40" s="60"/>
      <c r="Z40" s="53"/>
      <c r="AA40" s="53"/>
    </row>
    <row r="41" customFormat="false" ht="12.8" hidden="false" customHeight="false" outlineLevel="0" collapsed="false">
      <c r="A41" s="52"/>
      <c r="B41" s="52"/>
      <c r="C41" s="52"/>
      <c r="D41" s="53"/>
      <c r="E41" s="53"/>
      <c r="F41" s="54"/>
      <c r="G41" s="54"/>
      <c r="H41" s="54"/>
      <c r="I41" s="54"/>
      <c r="J41" s="55"/>
      <c r="K41" s="55"/>
      <c r="L41" s="55"/>
      <c r="M41" s="56"/>
      <c r="N41" s="56"/>
      <c r="O41" s="57"/>
      <c r="P41" s="57"/>
      <c r="Q41" s="56"/>
      <c r="R41" s="58"/>
      <c r="S41" s="56"/>
      <c r="T41" s="56"/>
      <c r="U41" s="57"/>
      <c r="V41" s="59"/>
      <c r="W41" s="56"/>
      <c r="X41" s="53"/>
      <c r="Y41" s="60"/>
      <c r="Z41" s="53"/>
      <c r="AA41" s="53"/>
    </row>
    <row r="42" customFormat="false" ht="12.8" hidden="false" customHeight="false" outlineLevel="0" collapsed="false">
      <c r="A42" s="52"/>
      <c r="B42" s="52"/>
      <c r="C42" s="52"/>
      <c r="D42" s="53"/>
      <c r="E42" s="53"/>
      <c r="F42" s="54"/>
      <c r="G42" s="54"/>
      <c r="H42" s="54"/>
      <c r="I42" s="54"/>
      <c r="J42" s="55"/>
      <c r="K42" s="55"/>
      <c r="L42" s="55"/>
      <c r="M42" s="56"/>
      <c r="N42" s="56"/>
      <c r="O42" s="57"/>
      <c r="P42" s="57"/>
      <c r="Q42" s="56"/>
      <c r="R42" s="58"/>
      <c r="S42" s="56"/>
      <c r="T42" s="56"/>
      <c r="U42" s="57"/>
      <c r="V42" s="59"/>
      <c r="W42" s="56"/>
      <c r="X42" s="53"/>
      <c r="Y42" s="60"/>
      <c r="Z42" s="53"/>
      <c r="AA42" s="53"/>
    </row>
    <row r="43" customFormat="false" ht="12.8" hidden="false" customHeight="false" outlineLevel="0" collapsed="false">
      <c r="A43" s="52"/>
      <c r="B43" s="52"/>
      <c r="C43" s="52"/>
      <c r="D43" s="53"/>
      <c r="E43" s="53"/>
      <c r="F43" s="54"/>
      <c r="G43" s="54"/>
      <c r="H43" s="54"/>
      <c r="I43" s="54"/>
      <c r="J43" s="55"/>
      <c r="K43" s="55"/>
      <c r="L43" s="55"/>
      <c r="M43" s="56"/>
      <c r="N43" s="56"/>
      <c r="O43" s="57"/>
      <c r="P43" s="57"/>
      <c r="Q43" s="56"/>
      <c r="R43" s="58"/>
      <c r="S43" s="56"/>
      <c r="T43" s="56"/>
      <c r="U43" s="57"/>
      <c r="V43" s="59"/>
      <c r="W43" s="56"/>
      <c r="X43" s="53"/>
      <c r="Y43" s="60"/>
      <c r="Z43" s="53"/>
      <c r="AA43" s="53"/>
    </row>
    <row r="44" customFormat="false" ht="12.8" hidden="false" customHeight="false" outlineLevel="0" collapsed="false">
      <c r="A44" s="52"/>
      <c r="B44" s="52"/>
      <c r="C44" s="52"/>
      <c r="D44" s="53"/>
      <c r="E44" s="53"/>
      <c r="F44" s="54"/>
      <c r="G44" s="54"/>
      <c r="H44" s="54"/>
      <c r="I44" s="54"/>
      <c r="J44" s="55"/>
      <c r="K44" s="55"/>
      <c r="L44" s="55"/>
      <c r="M44" s="56"/>
      <c r="N44" s="56"/>
      <c r="O44" s="57"/>
      <c r="P44" s="57"/>
      <c r="Q44" s="56"/>
      <c r="R44" s="58"/>
      <c r="S44" s="56"/>
      <c r="T44" s="56"/>
      <c r="U44" s="57"/>
      <c r="V44" s="59"/>
      <c r="W44" s="56"/>
      <c r="X44" s="53"/>
      <c r="Y44" s="60"/>
      <c r="Z44" s="53"/>
      <c r="AA44" s="53"/>
    </row>
    <row r="45" customFormat="false" ht="12.8" hidden="false" customHeight="false" outlineLevel="0" collapsed="false">
      <c r="A45" s="52"/>
      <c r="B45" s="52"/>
      <c r="C45" s="52"/>
      <c r="D45" s="53"/>
      <c r="E45" s="53"/>
      <c r="F45" s="54"/>
      <c r="G45" s="54"/>
      <c r="H45" s="54"/>
      <c r="I45" s="54"/>
      <c r="J45" s="55"/>
      <c r="K45" s="55"/>
      <c r="L45" s="55"/>
      <c r="M45" s="56"/>
      <c r="N45" s="56"/>
      <c r="O45" s="57"/>
      <c r="P45" s="57"/>
      <c r="Q45" s="56"/>
      <c r="R45" s="58"/>
      <c r="S45" s="56"/>
      <c r="T45" s="56"/>
      <c r="U45" s="57"/>
      <c r="V45" s="59"/>
      <c r="W45" s="56"/>
      <c r="X45" s="53"/>
      <c r="Y45" s="60"/>
      <c r="Z45" s="53"/>
      <c r="AA45" s="53"/>
    </row>
    <row r="46" customFormat="false" ht="12.8" hidden="false" customHeight="false" outlineLevel="0" collapsed="false">
      <c r="A46" s="52"/>
      <c r="B46" s="52"/>
      <c r="C46" s="52"/>
      <c r="D46" s="53"/>
      <c r="E46" s="53"/>
      <c r="F46" s="54"/>
      <c r="G46" s="54"/>
      <c r="H46" s="54"/>
      <c r="I46" s="54"/>
      <c r="J46" s="55"/>
      <c r="K46" s="55"/>
      <c r="L46" s="55"/>
      <c r="M46" s="56"/>
      <c r="N46" s="56"/>
      <c r="O46" s="57"/>
      <c r="P46" s="57"/>
      <c r="Q46" s="56"/>
      <c r="R46" s="58"/>
      <c r="S46" s="56"/>
      <c r="T46" s="56"/>
      <c r="U46" s="57"/>
      <c r="V46" s="59"/>
      <c r="W46" s="56"/>
      <c r="X46" s="53"/>
      <c r="Y46" s="60"/>
      <c r="Z46" s="53"/>
      <c r="AA46" s="53"/>
    </row>
    <row r="47" customFormat="false" ht="12.8" hidden="false" customHeight="false" outlineLevel="0" collapsed="false">
      <c r="A47" s="52"/>
      <c r="B47" s="52"/>
      <c r="C47" s="52"/>
      <c r="D47" s="53"/>
      <c r="E47" s="53"/>
      <c r="F47" s="54"/>
      <c r="G47" s="54"/>
      <c r="H47" s="54"/>
      <c r="I47" s="54"/>
      <c r="J47" s="55"/>
      <c r="K47" s="55"/>
      <c r="L47" s="55"/>
      <c r="M47" s="56"/>
      <c r="N47" s="56"/>
      <c r="O47" s="57"/>
      <c r="P47" s="57"/>
      <c r="Q47" s="56"/>
      <c r="R47" s="58"/>
      <c r="S47" s="56"/>
      <c r="T47" s="56"/>
      <c r="U47" s="57"/>
      <c r="V47" s="59"/>
      <c r="W47" s="56"/>
      <c r="X47" s="53"/>
      <c r="Y47" s="60"/>
      <c r="Z47" s="53"/>
      <c r="AA47" s="53"/>
    </row>
    <row r="48" customFormat="false" ht="12.8" hidden="false" customHeight="false" outlineLevel="0" collapsed="false">
      <c r="A48" s="52"/>
      <c r="B48" s="52"/>
      <c r="C48" s="52"/>
      <c r="D48" s="53"/>
      <c r="E48" s="53"/>
      <c r="F48" s="54"/>
      <c r="G48" s="54"/>
      <c r="H48" s="54"/>
      <c r="I48" s="54"/>
      <c r="J48" s="55"/>
      <c r="K48" s="55"/>
      <c r="L48" s="55"/>
      <c r="M48" s="56"/>
      <c r="N48" s="56"/>
      <c r="O48" s="57"/>
      <c r="P48" s="57"/>
      <c r="Q48" s="56"/>
      <c r="R48" s="58"/>
      <c r="S48" s="56"/>
      <c r="T48" s="56"/>
      <c r="U48" s="57"/>
      <c r="V48" s="59"/>
      <c r="W48" s="56"/>
      <c r="X48" s="53"/>
      <c r="Y48" s="60"/>
      <c r="Z48" s="53"/>
      <c r="AA48" s="53"/>
    </row>
    <row r="49" customFormat="false" ht="12.8" hidden="false" customHeight="false" outlineLevel="0" collapsed="false">
      <c r="A49" s="52"/>
      <c r="B49" s="52"/>
      <c r="C49" s="52"/>
      <c r="D49" s="53"/>
      <c r="E49" s="53"/>
      <c r="F49" s="54"/>
      <c r="G49" s="54"/>
      <c r="H49" s="54"/>
      <c r="I49" s="54"/>
      <c r="J49" s="55"/>
      <c r="K49" s="55"/>
      <c r="L49" s="55"/>
      <c r="M49" s="56"/>
      <c r="N49" s="56"/>
      <c r="O49" s="57"/>
      <c r="P49" s="57"/>
      <c r="Q49" s="56"/>
      <c r="R49" s="58"/>
      <c r="S49" s="56"/>
      <c r="T49" s="56"/>
      <c r="U49" s="57"/>
      <c r="V49" s="59"/>
      <c r="W49" s="56"/>
      <c r="X49" s="53"/>
      <c r="Y49" s="60"/>
      <c r="Z49" s="53"/>
      <c r="AA49" s="53"/>
    </row>
    <row r="50" customFormat="false" ht="12.8" hidden="false" customHeight="false" outlineLevel="0" collapsed="false">
      <c r="A50" s="52"/>
      <c r="B50" s="52"/>
      <c r="C50" s="52"/>
      <c r="D50" s="53"/>
      <c r="E50" s="53"/>
      <c r="F50" s="54"/>
      <c r="G50" s="54"/>
      <c r="H50" s="54"/>
      <c r="I50" s="54"/>
      <c r="J50" s="55"/>
      <c r="K50" s="55"/>
      <c r="L50" s="55"/>
      <c r="M50" s="56"/>
      <c r="N50" s="56"/>
      <c r="O50" s="57"/>
      <c r="P50" s="57"/>
      <c r="Q50" s="56"/>
      <c r="R50" s="58"/>
      <c r="S50" s="56"/>
      <c r="T50" s="56"/>
      <c r="U50" s="57"/>
      <c r="V50" s="59"/>
      <c r="W50" s="56"/>
      <c r="X50" s="53"/>
      <c r="Y50" s="60"/>
      <c r="Z50" s="53"/>
      <c r="AA50" s="53"/>
    </row>
    <row r="51" customFormat="false" ht="12.8" hidden="false" customHeight="false" outlineLevel="0" collapsed="false">
      <c r="A51" s="52"/>
      <c r="B51" s="52"/>
      <c r="C51" s="52"/>
      <c r="D51" s="53"/>
      <c r="E51" s="53"/>
      <c r="F51" s="54"/>
      <c r="G51" s="54"/>
      <c r="H51" s="54"/>
      <c r="I51" s="54"/>
      <c r="J51" s="55"/>
      <c r="K51" s="55"/>
      <c r="L51" s="55"/>
      <c r="M51" s="56"/>
      <c r="N51" s="56"/>
      <c r="O51" s="57"/>
      <c r="P51" s="57"/>
      <c r="Q51" s="56"/>
      <c r="R51" s="58"/>
      <c r="S51" s="56"/>
      <c r="T51" s="56"/>
      <c r="U51" s="57"/>
      <c r="V51" s="59"/>
      <c r="W51" s="56"/>
      <c r="X51" s="53"/>
      <c r="Y51" s="60"/>
      <c r="Z51" s="53"/>
      <c r="AA51" s="53"/>
    </row>
    <row r="52" customFormat="false" ht="12.8" hidden="false" customHeight="false" outlineLevel="0" collapsed="false">
      <c r="A52" s="52"/>
      <c r="B52" s="52"/>
      <c r="C52" s="52"/>
      <c r="D52" s="53"/>
      <c r="E52" s="53"/>
      <c r="F52" s="54"/>
      <c r="G52" s="54"/>
      <c r="H52" s="54"/>
      <c r="I52" s="54"/>
      <c r="J52" s="55"/>
      <c r="K52" s="55"/>
      <c r="L52" s="55"/>
      <c r="M52" s="56"/>
      <c r="N52" s="56"/>
      <c r="O52" s="57"/>
      <c r="P52" s="57"/>
      <c r="Q52" s="56"/>
      <c r="R52" s="58"/>
      <c r="S52" s="56"/>
      <c r="T52" s="56"/>
      <c r="U52" s="57"/>
      <c r="V52" s="59"/>
      <c r="W52" s="56"/>
      <c r="X52" s="53"/>
      <c r="Y52" s="60"/>
      <c r="Z52" s="53"/>
      <c r="AA52" s="53"/>
    </row>
    <row r="53" customFormat="false" ht="12.8" hidden="false" customHeight="false" outlineLevel="0" collapsed="false">
      <c r="A53" s="52"/>
      <c r="B53" s="52"/>
      <c r="C53" s="52"/>
      <c r="D53" s="53"/>
      <c r="E53" s="53"/>
      <c r="F53" s="54"/>
      <c r="G53" s="54"/>
      <c r="H53" s="54"/>
      <c r="I53" s="54"/>
      <c r="J53" s="55"/>
      <c r="K53" s="55"/>
      <c r="L53" s="55"/>
      <c r="M53" s="56"/>
      <c r="N53" s="56"/>
      <c r="O53" s="57"/>
      <c r="P53" s="57"/>
      <c r="Q53" s="56"/>
      <c r="R53" s="58"/>
      <c r="S53" s="56"/>
      <c r="T53" s="56"/>
      <c r="U53" s="57"/>
      <c r="V53" s="59"/>
      <c r="W53" s="56"/>
      <c r="X53" s="53"/>
      <c r="Y53" s="60"/>
      <c r="Z53" s="53"/>
      <c r="AA53" s="53"/>
    </row>
    <row r="54" customFormat="false" ht="12.8" hidden="false" customHeight="false" outlineLevel="0" collapsed="false">
      <c r="A54" s="52"/>
      <c r="B54" s="52"/>
      <c r="C54" s="52"/>
      <c r="D54" s="53"/>
      <c r="E54" s="53"/>
      <c r="F54" s="54"/>
      <c r="G54" s="54"/>
      <c r="H54" s="54"/>
      <c r="I54" s="54"/>
      <c r="J54" s="55"/>
      <c r="K54" s="55"/>
      <c r="L54" s="55"/>
      <c r="M54" s="56"/>
      <c r="N54" s="56"/>
      <c r="O54" s="57"/>
      <c r="P54" s="57"/>
      <c r="Q54" s="56"/>
      <c r="R54" s="58"/>
      <c r="S54" s="56"/>
      <c r="T54" s="56"/>
      <c r="U54" s="57"/>
      <c r="V54" s="59"/>
      <c r="W54" s="56"/>
      <c r="X54" s="53"/>
      <c r="Y54" s="60"/>
      <c r="Z54" s="53"/>
      <c r="AA54" s="53"/>
    </row>
    <row r="55" customFormat="false" ht="12.8" hidden="false" customHeight="false" outlineLevel="0" collapsed="false">
      <c r="A55" s="52"/>
      <c r="B55" s="52"/>
      <c r="C55" s="52"/>
      <c r="D55" s="53"/>
      <c r="E55" s="53"/>
      <c r="F55" s="54"/>
      <c r="G55" s="54"/>
      <c r="H55" s="54"/>
      <c r="I55" s="54"/>
      <c r="J55" s="55"/>
      <c r="K55" s="55"/>
      <c r="L55" s="55"/>
      <c r="M55" s="56"/>
      <c r="N55" s="56"/>
      <c r="O55" s="57"/>
      <c r="P55" s="57"/>
      <c r="Q55" s="56"/>
      <c r="R55" s="58"/>
      <c r="S55" s="56"/>
      <c r="T55" s="56"/>
      <c r="U55" s="57"/>
      <c r="V55" s="59"/>
      <c r="W55" s="56"/>
      <c r="X55" s="53"/>
      <c r="Y55" s="60"/>
      <c r="Z55" s="53"/>
      <c r="AA55" s="53"/>
    </row>
    <row r="56" customFormat="false" ht="12.8" hidden="false" customHeight="false" outlineLevel="0" collapsed="false">
      <c r="A56" s="52"/>
      <c r="B56" s="52"/>
      <c r="C56" s="52"/>
      <c r="D56" s="53"/>
      <c r="E56" s="53"/>
      <c r="F56" s="54"/>
      <c r="G56" s="54"/>
      <c r="H56" s="54"/>
      <c r="I56" s="54"/>
      <c r="J56" s="55"/>
      <c r="K56" s="55"/>
      <c r="L56" s="55"/>
      <c r="M56" s="56"/>
      <c r="N56" s="56"/>
      <c r="O56" s="57"/>
      <c r="P56" s="57"/>
      <c r="Q56" s="56"/>
      <c r="R56" s="58"/>
      <c r="S56" s="56"/>
      <c r="T56" s="56"/>
      <c r="U56" s="57"/>
      <c r="V56" s="59"/>
      <c r="W56" s="56"/>
      <c r="X56" s="53"/>
      <c r="Y56" s="60"/>
      <c r="Z56" s="53"/>
      <c r="AA56" s="53"/>
    </row>
    <row r="57" customFormat="false" ht="12.8" hidden="false" customHeight="false" outlineLevel="0" collapsed="false">
      <c r="A57" s="52"/>
      <c r="B57" s="52"/>
      <c r="C57" s="52"/>
      <c r="D57" s="53"/>
      <c r="E57" s="53"/>
      <c r="F57" s="54"/>
      <c r="G57" s="54"/>
      <c r="H57" s="54"/>
      <c r="I57" s="54"/>
      <c r="J57" s="55"/>
      <c r="K57" s="55"/>
      <c r="L57" s="55"/>
      <c r="M57" s="56"/>
      <c r="N57" s="56"/>
      <c r="O57" s="57"/>
      <c r="P57" s="57"/>
      <c r="Q57" s="56"/>
      <c r="R57" s="58"/>
      <c r="S57" s="56"/>
      <c r="T57" s="56"/>
      <c r="U57" s="57"/>
      <c r="V57" s="59"/>
      <c r="W57" s="56"/>
      <c r="X57" s="53"/>
      <c r="Y57" s="60"/>
      <c r="Z57" s="53"/>
      <c r="AA57" s="53"/>
    </row>
    <row r="58" customFormat="false" ht="12.8" hidden="false" customHeight="false" outlineLevel="0" collapsed="false">
      <c r="A58" s="52"/>
      <c r="B58" s="52"/>
      <c r="C58" s="52"/>
      <c r="D58" s="53"/>
      <c r="E58" s="53"/>
      <c r="F58" s="54"/>
      <c r="G58" s="54"/>
      <c r="H58" s="54"/>
      <c r="I58" s="54"/>
      <c r="J58" s="55"/>
      <c r="K58" s="55"/>
      <c r="L58" s="55"/>
      <c r="M58" s="56"/>
      <c r="N58" s="56"/>
      <c r="O58" s="57"/>
      <c r="P58" s="57"/>
      <c r="Q58" s="56"/>
      <c r="R58" s="58"/>
      <c r="S58" s="56"/>
      <c r="T58" s="56"/>
      <c r="U58" s="57"/>
      <c r="V58" s="59"/>
      <c r="W58" s="56"/>
      <c r="X58" s="53"/>
      <c r="Y58" s="60"/>
      <c r="Z58" s="53"/>
      <c r="AA58" s="53"/>
    </row>
    <row r="59" customFormat="false" ht="12.8" hidden="false" customHeight="false" outlineLevel="0" collapsed="false">
      <c r="A59" s="52"/>
      <c r="B59" s="52"/>
      <c r="C59" s="52"/>
      <c r="D59" s="53"/>
      <c r="E59" s="53"/>
      <c r="F59" s="54"/>
      <c r="G59" s="54"/>
      <c r="H59" s="54"/>
      <c r="I59" s="54"/>
      <c r="J59" s="55"/>
      <c r="K59" s="55"/>
      <c r="L59" s="55"/>
      <c r="M59" s="56"/>
      <c r="N59" s="56"/>
      <c r="O59" s="57"/>
      <c r="P59" s="57"/>
      <c r="Q59" s="56"/>
      <c r="R59" s="58"/>
      <c r="S59" s="56"/>
      <c r="T59" s="56"/>
      <c r="U59" s="57"/>
      <c r="V59" s="59"/>
      <c r="W59" s="56"/>
      <c r="X59" s="53"/>
      <c r="Y59" s="60"/>
      <c r="Z59" s="53"/>
      <c r="AA59" s="5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"/>
    <col collapsed="false" customWidth="false" hidden="false" outlineLevel="0" max="3" min="2" style="1" width="11.53"/>
    <col collapsed="false" customWidth="true" hidden="false" outlineLevel="0" max="4" min="4" style="1" width="6.25"/>
    <col collapsed="false" customWidth="true" hidden="false" outlineLevel="0" max="5" min="5" style="1" width="12.1"/>
    <col collapsed="false" customWidth="false" hidden="false" outlineLevel="0" max="6" min="6" style="3" width="11.53"/>
    <col collapsed="false" customWidth="false" hidden="false" outlineLevel="0" max="8" min="7" style="2" width="11.53"/>
    <col collapsed="false" customWidth="false" hidden="false" outlineLevel="0" max="10" min="9" style="1" width="11.53"/>
    <col collapsed="false" customWidth="true" hidden="false" outlineLevel="0" max="11" min="11" style="2" width="9.18"/>
    <col collapsed="false" customWidth="true" hidden="false" outlineLevel="0" max="12" min="12" style="2" width="10.71"/>
    <col collapsed="false" customWidth="false" hidden="false" outlineLevel="0" max="13" min="13" style="9" width="11.53"/>
    <col collapsed="false" customWidth="true" hidden="false" outlineLevel="0" max="14" min="14" style="2" width="17.39"/>
    <col collapsed="false" customWidth="true" hidden="false" outlineLevel="0" max="16" min="15" style="1" width="7.83"/>
    <col collapsed="false" customWidth="true" hidden="false" outlineLevel="0" max="17" min="17" style="1" width="8.34"/>
    <col collapsed="false" customWidth="false" hidden="false" outlineLevel="0" max="18" min="18" style="61" width="11.53"/>
    <col collapsed="false" customWidth="false" hidden="false" outlineLevel="0" max="19" min="19" style="5" width="11.58"/>
    <col collapsed="false" customWidth="false" hidden="false" outlineLevel="0" max="20" min="20" style="61" width="11.58"/>
    <col collapsed="false" customWidth="true" hidden="false" outlineLevel="0" max="21" min="21" style="61" width="18.54"/>
    <col collapsed="false" customWidth="true" hidden="false" outlineLevel="0" max="22" min="22" style="1" width="18.54"/>
    <col collapsed="false" customWidth="false" hidden="false" outlineLevel="0" max="23" min="23" style="1" width="11.53"/>
    <col collapsed="false" customWidth="true" hidden="false" outlineLevel="0" max="24" min="24" style="1" width="14.09"/>
    <col collapsed="false" customWidth="false" hidden="false" outlineLevel="0" max="16384" min="25" style="1" width="11.53"/>
  </cols>
  <sheetData>
    <row r="1" customFormat="false" ht="46.25" hidden="false" customHeight="false" outlineLevel="0" collapsed="false">
      <c r="A1" s="62" t="s">
        <v>4</v>
      </c>
      <c r="B1" s="62" t="s">
        <v>5</v>
      </c>
      <c r="C1" s="62" t="s">
        <v>6</v>
      </c>
      <c r="D1" s="62" t="s">
        <v>46</v>
      </c>
      <c r="E1" s="62" t="s">
        <v>53</v>
      </c>
      <c r="F1" s="63" t="s">
        <v>54</v>
      </c>
      <c r="G1" s="64" t="s">
        <v>55</v>
      </c>
      <c r="H1" s="64" t="s">
        <v>56</v>
      </c>
      <c r="I1" s="62" t="s">
        <v>57</v>
      </c>
      <c r="J1" s="62" t="s">
        <v>24</v>
      </c>
      <c r="K1" s="64" t="s">
        <v>58</v>
      </c>
      <c r="L1" s="64" t="s">
        <v>27</v>
      </c>
      <c r="M1" s="65" t="s">
        <v>28</v>
      </c>
      <c r="N1" s="64" t="s">
        <v>59</v>
      </c>
      <c r="O1" s="62" t="s">
        <v>60</v>
      </c>
      <c r="P1" s="62" t="s">
        <v>61</v>
      </c>
      <c r="Q1" s="62" t="s">
        <v>62</v>
      </c>
      <c r="R1" s="66" t="s">
        <v>63</v>
      </c>
      <c r="S1" s="67" t="s">
        <v>64</v>
      </c>
      <c r="T1" s="61" t="s">
        <v>65</v>
      </c>
      <c r="U1" s="61" t="s">
        <v>66</v>
      </c>
      <c r="V1" s="62" t="s">
        <v>67</v>
      </c>
    </row>
    <row r="2" customFormat="false" ht="12.8" hidden="false" customHeight="false" outlineLevel="0" collapsed="false">
      <c r="A2" s="68" t="s">
        <v>32</v>
      </c>
      <c r="B2" s="68" t="s">
        <v>33</v>
      </c>
      <c r="C2" s="68" t="s">
        <v>34</v>
      </c>
      <c r="D2" s="68" t="n">
        <v>1</v>
      </c>
      <c r="E2" s="68" t="n">
        <v>0.2</v>
      </c>
      <c r="F2" s="69" t="n">
        <v>6612.88</v>
      </c>
      <c r="G2" s="70" t="n">
        <v>1</v>
      </c>
      <c r="H2" s="70" t="n">
        <f aca="false">E2*F2*G2</f>
        <v>1322.576</v>
      </c>
      <c r="I2" s="71" t="n">
        <f aca="false">(108.57*14)/F2</f>
        <v>0.229851441429453</v>
      </c>
      <c r="J2" s="71" t="n">
        <v>0.5</v>
      </c>
      <c r="K2" s="70" t="n">
        <f aca="false">(H2*I2)/J2*D2</f>
        <v>607.992</v>
      </c>
      <c r="L2" s="70" t="n">
        <f aca="false">K2*4</f>
        <v>2431.968</v>
      </c>
      <c r="M2" s="72" t="n">
        <v>0.05</v>
      </c>
      <c r="N2" s="70" t="n">
        <f aca="false">M2*L2</f>
        <v>121.5984</v>
      </c>
      <c r="O2" s="52" t="n">
        <v>6611.38</v>
      </c>
      <c r="P2" s="52" t="n">
        <v>6612.88</v>
      </c>
      <c r="Q2" s="52" t="n">
        <v>1.5</v>
      </c>
      <c r="R2" s="73" t="n">
        <f aca="false">((Q2*G2)/2)/F2</f>
        <v>0.000113415032482065</v>
      </c>
      <c r="S2" s="56" t="n">
        <f aca="false">J2/I2</f>
        <v>2.17531809629074</v>
      </c>
      <c r="T2" s="61" t="n">
        <v>0</v>
      </c>
      <c r="V2" s="52" t="n">
        <f aca="false">R2/I2</f>
        <v>0.000493427545099278</v>
      </c>
    </row>
    <row r="3" customFormat="false" ht="12.8" hidden="false" customHeight="false" outlineLevel="0" collapsed="false">
      <c r="A3" s="52" t="s">
        <v>32</v>
      </c>
      <c r="B3" s="52" t="s">
        <v>35</v>
      </c>
      <c r="C3" s="52" t="s">
        <v>34</v>
      </c>
      <c r="D3" s="28" t="n">
        <v>1</v>
      </c>
      <c r="E3" s="52" t="n">
        <v>0.04</v>
      </c>
      <c r="F3" s="54" t="n">
        <v>6630.73</v>
      </c>
      <c r="G3" s="53" t="n">
        <v>50</v>
      </c>
      <c r="H3" s="53" t="n">
        <f aca="false">E3*F3*G3</f>
        <v>13261.46</v>
      </c>
      <c r="I3" s="73" t="n">
        <f aca="false">(108.57*14)/F3</f>
        <v>0.229232678754828</v>
      </c>
      <c r="J3" s="73" t="n">
        <f aca="false">J2</f>
        <v>0.5</v>
      </c>
      <c r="K3" s="53" t="n">
        <f aca="false">(H3*I3)/J3*D3</f>
        <v>6079.92</v>
      </c>
      <c r="L3" s="53" t="n">
        <f aca="false">K3*4</f>
        <v>24319.68</v>
      </c>
      <c r="M3" s="60" t="n">
        <v>0.05</v>
      </c>
      <c r="N3" s="53" t="n">
        <f aca="false">M3*L3</f>
        <v>1215.984</v>
      </c>
      <c r="O3" s="52" t="n">
        <v>6738.54</v>
      </c>
      <c r="P3" s="52" t="n">
        <v>6739.24</v>
      </c>
      <c r="Q3" s="52" t="n">
        <v>0.7</v>
      </c>
      <c r="R3" s="73" t="n">
        <f aca="false">((Q3*G3)/2)/F3</f>
        <v>0.00263922675180561</v>
      </c>
      <c r="S3" s="56" t="n">
        <f aca="false">J3/I3</f>
        <v>2.18118988407742</v>
      </c>
      <c r="T3" s="61" t="n">
        <v>0</v>
      </c>
      <c r="V3" s="52" t="n">
        <f aca="false">R3/I3</f>
        <v>0.0115133093856498</v>
      </c>
    </row>
    <row r="4" customFormat="false" ht="12.8" hidden="false" customHeight="false" outlineLevel="0" collapsed="false">
      <c r="A4" s="52" t="s">
        <v>32</v>
      </c>
      <c r="B4" s="52" t="s">
        <v>35</v>
      </c>
      <c r="C4" s="52" t="s">
        <v>34</v>
      </c>
      <c r="D4" s="28" t="n">
        <v>1</v>
      </c>
      <c r="E4" s="52" t="n">
        <v>0.04</v>
      </c>
      <c r="F4" s="54" t="n">
        <v>6630.73</v>
      </c>
      <c r="G4" s="53" t="n">
        <v>250</v>
      </c>
      <c r="H4" s="53" t="n">
        <f aca="false">E4*F4*G4</f>
        <v>66307.3</v>
      </c>
      <c r="I4" s="73" t="n">
        <f aca="false">I3</f>
        <v>0.229232678754828</v>
      </c>
      <c r="J4" s="73" t="n">
        <f aca="false">J3</f>
        <v>0.5</v>
      </c>
      <c r="K4" s="53" t="n">
        <f aca="false">(H4*I4)/J4*D4</f>
        <v>30399.6</v>
      </c>
      <c r="L4" s="53" t="n">
        <f aca="false">K4*4</f>
        <v>121598.4</v>
      </c>
      <c r="M4" s="60" t="n">
        <v>0.05</v>
      </c>
      <c r="N4" s="53" t="n">
        <f aca="false">M4*L4</f>
        <v>6079.92</v>
      </c>
      <c r="O4" s="52" t="n">
        <v>6738.54</v>
      </c>
      <c r="P4" s="52" t="n">
        <v>6739.24</v>
      </c>
      <c r="Q4" s="52" t="n">
        <v>0.7</v>
      </c>
      <c r="R4" s="73" t="n">
        <f aca="false">((Q4*G4)/2)/F4</f>
        <v>0.013196133759028</v>
      </c>
      <c r="S4" s="56" t="n">
        <f aca="false">J4/I4</f>
        <v>2.18118988407742</v>
      </c>
      <c r="T4" s="61" t="n">
        <v>0</v>
      </c>
      <c r="V4" s="52" t="n">
        <f aca="false">R4/I4</f>
        <v>0.0575665469282491</v>
      </c>
    </row>
    <row r="5" customFormat="false" ht="12.8" hidden="false" customHeight="false" outlineLevel="0" collapsed="false">
      <c r="A5" s="68" t="s">
        <v>36</v>
      </c>
      <c r="B5" s="68" t="s">
        <v>33</v>
      </c>
      <c r="C5" s="68" t="s">
        <v>37</v>
      </c>
      <c r="D5" s="68" t="n">
        <v>1.15</v>
      </c>
      <c r="E5" s="68" t="n">
        <v>0.5</v>
      </c>
      <c r="F5" s="74" t="n">
        <v>4065.59</v>
      </c>
      <c r="G5" s="74" t="n">
        <v>1</v>
      </c>
      <c r="H5" s="74" t="n">
        <f aca="false">E5*F5*G5</f>
        <v>2032.795</v>
      </c>
      <c r="I5" s="71" t="n">
        <f aca="false">(94.62*14)/F5</f>
        <v>0.325827247705745</v>
      </c>
      <c r="J5" s="71" t="n">
        <f aca="false">J4</f>
        <v>0.5</v>
      </c>
      <c r="K5" s="70" t="n">
        <f aca="false">(H5*I5)/J5*D5</f>
        <v>1523.382</v>
      </c>
      <c r="L5" s="70" t="n">
        <f aca="false">K5*4</f>
        <v>6093.528</v>
      </c>
      <c r="M5" s="72" t="n">
        <v>0.05</v>
      </c>
      <c r="N5" s="70" t="n">
        <f aca="false">M5*L5</f>
        <v>304.6764</v>
      </c>
      <c r="O5" s="52" t="n">
        <v>4065.09</v>
      </c>
      <c r="P5" s="52" t="n">
        <v>4065.59</v>
      </c>
      <c r="Q5" s="52" t="n">
        <v>0.5</v>
      </c>
      <c r="R5" s="73" t="n">
        <f aca="false">((Q5*G5)/2)/F5</f>
        <v>6.14916900130116E-005</v>
      </c>
      <c r="S5" s="56" t="n">
        <f aca="false">J5/I5</f>
        <v>1.53455551529426</v>
      </c>
      <c r="T5" s="61" t="n">
        <v>0</v>
      </c>
      <c r="V5" s="52" t="n">
        <f aca="false">R5/I5</f>
        <v>0.000188724824108464</v>
      </c>
    </row>
    <row r="6" customFormat="false" ht="12.8" hidden="false" customHeight="false" outlineLevel="0" collapsed="false">
      <c r="A6" s="52" t="s">
        <v>36</v>
      </c>
      <c r="B6" s="52" t="s">
        <v>35</v>
      </c>
      <c r="C6" s="52" t="s">
        <v>37</v>
      </c>
      <c r="D6" s="52" t="n">
        <v>1</v>
      </c>
      <c r="E6" s="52" t="n">
        <v>0.1</v>
      </c>
      <c r="F6" s="54" t="n">
        <v>4091</v>
      </c>
      <c r="G6" s="75" t="n">
        <v>33.2</v>
      </c>
      <c r="H6" s="53" t="n">
        <f aca="false">E6*F6*G6</f>
        <v>13582.12</v>
      </c>
      <c r="I6" s="73" t="n">
        <f aca="false">(94.62*14)/F6</f>
        <v>0.323803471033977</v>
      </c>
      <c r="J6" s="73" t="n">
        <f aca="false">J5</f>
        <v>0.5</v>
      </c>
      <c r="K6" s="53" t="n">
        <f aca="false">(H6*I6)/J6*D6</f>
        <v>8795.8752</v>
      </c>
      <c r="L6" s="53" t="n">
        <f aca="false">K6*4</f>
        <v>35183.5008</v>
      </c>
      <c r="M6" s="60" t="n">
        <v>0.05</v>
      </c>
      <c r="N6" s="53" t="n">
        <f aca="false">M6*L6</f>
        <v>1759.17504</v>
      </c>
      <c r="O6" s="52"/>
      <c r="P6" s="52"/>
      <c r="Q6" s="52"/>
      <c r="R6" s="73"/>
      <c r="S6" s="56" t="n">
        <f aca="false">J6/I6</f>
        <v>1.54414651085545</v>
      </c>
      <c r="V6" s="52"/>
    </row>
    <row r="7" customFormat="false" ht="12.8" hidden="false" customHeight="false" outlineLevel="0" collapsed="false">
      <c r="A7" s="52" t="s">
        <v>36</v>
      </c>
      <c r="B7" s="52" t="s">
        <v>35</v>
      </c>
      <c r="C7" s="52" t="s">
        <v>37</v>
      </c>
      <c r="D7" s="52" t="n">
        <v>1</v>
      </c>
      <c r="E7" s="52" t="n">
        <v>0.1</v>
      </c>
      <c r="F7" s="54" t="n">
        <v>4091</v>
      </c>
      <c r="G7" s="53" t="n">
        <v>100</v>
      </c>
      <c r="H7" s="53" t="n">
        <f aca="false">E7*F7*G7</f>
        <v>40910</v>
      </c>
      <c r="I7" s="73" t="n">
        <f aca="false">(94.62*14)/F7</f>
        <v>0.323803471033977</v>
      </c>
      <c r="J7" s="73" t="n">
        <f aca="false">J6</f>
        <v>0.5</v>
      </c>
      <c r="K7" s="53" t="n">
        <f aca="false">(H7*I7)/J7*D7</f>
        <v>26493.6</v>
      </c>
      <c r="L7" s="53" t="n">
        <f aca="false">K7*4</f>
        <v>105974.4</v>
      </c>
      <c r="M7" s="60" t="n">
        <v>0.05</v>
      </c>
      <c r="N7" s="53" t="n">
        <f aca="false">M7*L7</f>
        <v>5298.72</v>
      </c>
      <c r="O7" s="52"/>
      <c r="P7" s="52"/>
      <c r="Q7" s="52"/>
      <c r="R7" s="73"/>
      <c r="S7" s="56" t="n">
        <f aca="false">J7/I7</f>
        <v>1.54414651085545</v>
      </c>
      <c r="V7" s="52"/>
    </row>
    <row r="8" customFormat="false" ht="12.8" hidden="false" customHeight="false" outlineLevel="0" collapsed="false">
      <c r="A8" s="52" t="s">
        <v>38</v>
      </c>
      <c r="B8" s="52" t="s">
        <v>33</v>
      </c>
      <c r="C8" s="52" t="s">
        <v>39</v>
      </c>
      <c r="D8" s="52" t="n">
        <v>1</v>
      </c>
      <c r="E8" s="52" t="n">
        <v>0.2</v>
      </c>
      <c r="F8" s="54" t="n">
        <v>21.68</v>
      </c>
      <c r="G8" s="53" t="n">
        <v>1000</v>
      </c>
      <c r="H8" s="53" t="n">
        <f aca="false">E8*F8*G8</f>
        <v>4336</v>
      </c>
      <c r="I8" s="73" t="n">
        <f aca="false">(1.30532*14)/F8</f>
        <v>0.842918819188192</v>
      </c>
      <c r="J8" s="73" t="n">
        <f aca="false">J7</f>
        <v>0.5</v>
      </c>
      <c r="K8" s="53" t="n">
        <f aca="false">(H8*I8)/J8*D8</f>
        <v>7309.792</v>
      </c>
      <c r="L8" s="53" t="n">
        <f aca="false">K8*4</f>
        <v>29239.168</v>
      </c>
      <c r="M8" s="60" t="n">
        <v>0.2</v>
      </c>
      <c r="N8" s="53" t="n">
        <f aca="false">M8*L8</f>
        <v>5847.8336</v>
      </c>
      <c r="O8" s="52"/>
      <c r="P8" s="52"/>
      <c r="Q8" s="52"/>
      <c r="R8" s="73"/>
      <c r="S8" s="56" t="n">
        <f aca="false">J8/I8</f>
        <v>0.59317693307826</v>
      </c>
      <c r="V8" s="52"/>
      <c r="X8" s="1" t="s">
        <v>40</v>
      </c>
      <c r="Y8" s="8" t="n">
        <v>20000</v>
      </c>
    </row>
    <row r="9" customFormat="false" ht="12.8" hidden="false" customHeight="false" outlineLevel="0" collapsed="false">
      <c r="A9" s="68" t="s">
        <v>38</v>
      </c>
      <c r="B9" s="68" t="s">
        <v>35</v>
      </c>
      <c r="C9" s="68" t="s">
        <v>39</v>
      </c>
      <c r="D9" s="68" t="n">
        <v>1</v>
      </c>
      <c r="E9" s="68" t="n">
        <v>1</v>
      </c>
      <c r="F9" s="69" t="n">
        <v>22.35</v>
      </c>
      <c r="G9" s="70" t="n">
        <v>200</v>
      </c>
      <c r="H9" s="70" t="n">
        <f aca="false">E9*F9*G9</f>
        <v>4470</v>
      </c>
      <c r="I9" s="71" t="n">
        <f aca="false">(1.30532*14)/F9</f>
        <v>0.817650111856823</v>
      </c>
      <c r="J9" s="71" t="n">
        <f aca="false">J8</f>
        <v>0.5</v>
      </c>
      <c r="K9" s="70" t="n">
        <f aca="false">(H9*I9)/J9*D9</f>
        <v>7309.792</v>
      </c>
      <c r="L9" s="70" t="n">
        <f aca="false">K9*4</f>
        <v>29239.168</v>
      </c>
      <c r="M9" s="72" t="n">
        <v>0.2</v>
      </c>
      <c r="N9" s="70" t="n">
        <f aca="false">M9*L9</f>
        <v>5847.8336</v>
      </c>
      <c r="O9" s="52"/>
      <c r="P9" s="52"/>
      <c r="Q9" s="52"/>
      <c r="R9" s="73"/>
      <c r="S9" s="56" t="n">
        <f aca="false">J9/I9</f>
        <v>0.611508508039627</v>
      </c>
      <c r="V9" s="52"/>
      <c r="X9" s="1" t="s">
        <v>32</v>
      </c>
      <c r="Y9" s="8" t="n">
        <f aca="false">Y8-N2</f>
        <v>19878.4016</v>
      </c>
    </row>
    <row r="10" customFormat="false" ht="12.8" hidden="false" customHeight="false" outlineLevel="0" collapsed="false">
      <c r="A10" s="52" t="s">
        <v>38</v>
      </c>
      <c r="B10" s="52" t="s">
        <v>35</v>
      </c>
      <c r="C10" s="52" t="s">
        <v>39</v>
      </c>
      <c r="D10" s="52" t="n">
        <v>1</v>
      </c>
      <c r="E10" s="52" t="n">
        <v>1</v>
      </c>
      <c r="F10" s="54" t="n">
        <v>22.35</v>
      </c>
      <c r="G10" s="53" t="n">
        <v>1000</v>
      </c>
      <c r="H10" s="53" t="n">
        <f aca="false">E10*F10*G10</f>
        <v>22350</v>
      </c>
      <c r="I10" s="73" t="n">
        <f aca="false">(1.30532*14)/F10</f>
        <v>0.817650111856823</v>
      </c>
      <c r="J10" s="73" t="n">
        <f aca="false">J9</f>
        <v>0.5</v>
      </c>
      <c r="K10" s="53" t="n">
        <f aca="false">(H10*I10)/J10*D10</f>
        <v>36548.96</v>
      </c>
      <c r="L10" s="53" t="n">
        <f aca="false">K10*4</f>
        <v>146195.84</v>
      </c>
      <c r="M10" s="60" t="n">
        <v>0.2</v>
      </c>
      <c r="N10" s="53" t="n">
        <f aca="false">M10*L10</f>
        <v>29239.168</v>
      </c>
      <c r="O10" s="52"/>
      <c r="P10" s="52"/>
      <c r="Q10" s="52"/>
      <c r="R10" s="73"/>
      <c r="S10" s="56" t="n">
        <f aca="false">J10/I10</f>
        <v>0.611508508039627</v>
      </c>
      <c r="V10" s="52"/>
      <c r="X10" s="1" t="s">
        <v>36</v>
      </c>
      <c r="Y10" s="8" t="n">
        <f aca="false">Y9-N5</f>
        <v>19573.7252</v>
      </c>
    </row>
    <row r="11" customFormat="false" ht="12.8" hidden="false" customHeight="false" outlineLevel="0" collapsed="false">
      <c r="A11" s="52" t="s">
        <v>42</v>
      </c>
      <c r="B11" s="52"/>
      <c r="C11" s="52" t="s">
        <v>43</v>
      </c>
      <c r="D11" s="52"/>
      <c r="E11" s="52"/>
      <c r="F11" s="54"/>
      <c r="G11" s="53"/>
      <c r="H11" s="53"/>
      <c r="I11" s="73"/>
      <c r="J11" s="73"/>
      <c r="K11" s="53"/>
      <c r="L11" s="53"/>
      <c r="M11" s="60"/>
      <c r="N11" s="53"/>
      <c r="O11" s="52"/>
      <c r="P11" s="52"/>
      <c r="Q11" s="52"/>
      <c r="R11" s="73"/>
      <c r="S11" s="56"/>
      <c r="V11" s="52"/>
      <c r="X11" s="1" t="s">
        <v>41</v>
      </c>
      <c r="Y11" s="8" t="n">
        <f aca="false">Y10-N9</f>
        <v>13725.8916</v>
      </c>
    </row>
    <row r="12" customFormat="false" ht="12.8" hidden="false" customHeight="false" outlineLevel="0" collapsed="false">
      <c r="A12" s="52" t="s">
        <v>44</v>
      </c>
      <c r="B12" s="76" t="s">
        <v>45</v>
      </c>
      <c r="C12" s="52" t="s">
        <v>46</v>
      </c>
      <c r="D12" s="76" t="n">
        <v>1</v>
      </c>
      <c r="E12" s="76" t="n">
        <v>1</v>
      </c>
      <c r="F12" s="76" t="n">
        <v>1.15243</v>
      </c>
      <c r="G12" s="53" t="n">
        <v>1000000</v>
      </c>
      <c r="H12" s="53" t="n">
        <f aca="false">E12*F12*G12</f>
        <v>1152430</v>
      </c>
      <c r="I12" s="73" t="n">
        <f aca="false">(0.00456*14)/F12</f>
        <v>0.0553959893442552</v>
      </c>
      <c r="J12" s="73" t="n">
        <v>0.5</v>
      </c>
      <c r="K12" s="75" t="n">
        <f aca="false">(H12*I12)/J12*D12</f>
        <v>127680</v>
      </c>
      <c r="L12" s="53" t="n">
        <f aca="false">K12*4</f>
        <v>510720</v>
      </c>
      <c r="M12" s="60" t="n">
        <v>0.0333</v>
      </c>
      <c r="N12" s="53" t="n">
        <f aca="false">M12*L12</f>
        <v>17006.976</v>
      </c>
      <c r="O12" s="52"/>
      <c r="P12" s="52"/>
      <c r="Q12" s="52"/>
      <c r="R12" s="73"/>
      <c r="S12" s="56" t="n">
        <f aca="false">J12/I12</f>
        <v>9.02592418546366</v>
      </c>
      <c r="V12" s="52"/>
    </row>
    <row r="13" customFormat="false" ht="12.8" hidden="false" customHeight="false" outlineLevel="0" collapsed="false">
      <c r="A13" s="52" t="s">
        <v>44</v>
      </c>
      <c r="B13" s="76" t="s">
        <v>47</v>
      </c>
      <c r="C13" s="52" t="s">
        <v>46</v>
      </c>
      <c r="D13" s="52" t="n">
        <v>1</v>
      </c>
      <c r="E13" s="52" t="n">
        <v>1</v>
      </c>
      <c r="F13" s="77" t="n">
        <v>1.15241</v>
      </c>
      <c r="G13" s="53" t="n">
        <v>100000</v>
      </c>
      <c r="H13" s="53" t="n">
        <f aca="false">E13*F13*G13</f>
        <v>115241</v>
      </c>
      <c r="I13" s="73" t="n">
        <f aca="false">(0.00456*14)/F13</f>
        <v>0.0553969507380186</v>
      </c>
      <c r="J13" s="73" t="n">
        <v>0.5</v>
      </c>
      <c r="K13" s="75" t="n">
        <f aca="false">(H13*I13)/J13*D13</f>
        <v>12768</v>
      </c>
      <c r="L13" s="53" t="n">
        <f aca="false">K13*4</f>
        <v>51072</v>
      </c>
      <c r="M13" s="60" t="n">
        <v>0.0333</v>
      </c>
      <c r="N13" s="53" t="n">
        <f aca="false">M13*L13</f>
        <v>1700.6976</v>
      </c>
      <c r="O13" s="52"/>
      <c r="P13" s="52"/>
      <c r="Q13" s="52"/>
      <c r="R13" s="73"/>
      <c r="S13" s="56" t="n">
        <f aca="false">J13/I13</f>
        <v>9.02576754385965</v>
      </c>
      <c r="V13" s="52"/>
    </row>
    <row r="14" customFormat="false" ht="12.8" hidden="false" customHeight="false" outlineLevel="0" collapsed="false">
      <c r="A14" s="52" t="s">
        <v>48</v>
      </c>
      <c r="B14" s="76" t="s">
        <v>45</v>
      </c>
      <c r="C14" s="52" t="s">
        <v>49</v>
      </c>
      <c r="D14" s="52" t="n">
        <v>1</v>
      </c>
      <c r="E14" s="52" t="n">
        <v>0.01</v>
      </c>
      <c r="F14" s="54" t="n">
        <v>87112</v>
      </c>
      <c r="G14" s="53" t="n">
        <v>1</v>
      </c>
      <c r="H14" s="53" t="n">
        <f aca="false">E14*F14*G14</f>
        <v>871.12</v>
      </c>
      <c r="I14" s="73" t="n">
        <f aca="false">(4161.96495*14)/F14</f>
        <v>0.668880398796951</v>
      </c>
      <c r="J14" s="73" t="n">
        <v>0.5</v>
      </c>
      <c r="K14" s="75" t="n">
        <f aca="false">(H14*I14)/J14*D14</f>
        <v>1165.350186</v>
      </c>
      <c r="L14" s="53" t="n">
        <f aca="false">K14*4</f>
        <v>4661.400744</v>
      </c>
      <c r="M14" s="60" t="n">
        <v>0.5</v>
      </c>
      <c r="N14" s="53" t="n">
        <f aca="false">M14*L14</f>
        <v>2330.700372</v>
      </c>
      <c r="O14" s="52"/>
      <c r="P14" s="52"/>
      <c r="Q14" s="52"/>
      <c r="R14" s="73"/>
      <c r="S14" s="56" t="n">
        <f aca="false">J14/I14</f>
        <v>0.747517793762982</v>
      </c>
      <c r="V14" s="52"/>
    </row>
    <row r="15" customFormat="false" ht="12.8" hidden="false" customHeight="false" outlineLevel="0" collapsed="false">
      <c r="A15" s="52" t="s">
        <v>48</v>
      </c>
      <c r="B15" s="76" t="s">
        <v>47</v>
      </c>
      <c r="C15" s="52" t="s">
        <v>49</v>
      </c>
      <c r="D15" s="52" t="n">
        <v>1</v>
      </c>
      <c r="E15" s="52" t="n">
        <v>0.01</v>
      </c>
      <c r="F15" s="54" t="n">
        <v>87112</v>
      </c>
      <c r="G15" s="75" t="n">
        <v>0.1</v>
      </c>
      <c r="H15" s="53" t="n">
        <f aca="false">E15*F15*G15</f>
        <v>87.112</v>
      </c>
      <c r="I15" s="73" t="n">
        <f aca="false">(4161.96495*14)/F15</f>
        <v>0.668880398796951</v>
      </c>
      <c r="J15" s="73" t="n">
        <v>0.5</v>
      </c>
      <c r="K15" s="75" t="n">
        <f aca="false">(H15*I15)/J15*D15</f>
        <v>116.5350186</v>
      </c>
      <c r="L15" s="53" t="n">
        <f aca="false">K15*4</f>
        <v>466.1400744</v>
      </c>
      <c r="M15" s="60" t="n">
        <v>0.5</v>
      </c>
      <c r="N15" s="53" t="n">
        <f aca="false">M15*L15</f>
        <v>233.0700372</v>
      </c>
      <c r="O15" s="52"/>
      <c r="P15" s="52"/>
      <c r="Q15" s="52"/>
      <c r="R15" s="73"/>
      <c r="S15" s="56" t="n">
        <f aca="false">J15/I15</f>
        <v>0.747517793762982</v>
      </c>
      <c r="V15" s="52"/>
    </row>
    <row r="16" customFormat="false" ht="12.8" hidden="false" customHeight="false" outlineLevel="0" collapsed="false">
      <c r="A16" s="78" t="s">
        <v>50</v>
      </c>
      <c r="B16" s="76" t="s">
        <v>45</v>
      </c>
      <c r="C16" s="52" t="s">
        <v>49</v>
      </c>
      <c r="D16" s="52" t="n">
        <v>1</v>
      </c>
      <c r="E16" s="52" t="n">
        <v>0.2</v>
      </c>
      <c r="F16" s="54" t="n">
        <v>548.47</v>
      </c>
      <c r="G16" s="53" t="n">
        <v>1</v>
      </c>
      <c r="H16" s="53" t="n">
        <f aca="false">E16*F16*G16</f>
        <v>109.694</v>
      </c>
      <c r="I16" s="73" t="n">
        <f aca="false">(39.57856*14)/F16</f>
        <v>1.01026462705344</v>
      </c>
      <c r="J16" s="73" t="n">
        <v>0.5</v>
      </c>
      <c r="K16" s="75" t="n">
        <f aca="false">(H16*I16)/J16*D16</f>
        <v>221.639936</v>
      </c>
      <c r="L16" s="53" t="n">
        <f aca="false">K16*4</f>
        <v>886.559744</v>
      </c>
      <c r="M16" s="60" t="n">
        <v>0.5</v>
      </c>
      <c r="N16" s="53" t="n">
        <f aca="false">M16*L16</f>
        <v>443.279872</v>
      </c>
      <c r="O16" s="52"/>
      <c r="P16" s="52"/>
      <c r="Q16" s="52"/>
      <c r="R16" s="73"/>
      <c r="S16" s="56" t="n">
        <f aca="false">J16/I16</f>
        <v>0.494919832498057</v>
      </c>
      <c r="V16" s="52"/>
    </row>
    <row r="17" customFormat="false" ht="23.85" hidden="false" customHeight="false" outlineLevel="0" collapsed="false">
      <c r="A17" s="52" t="s">
        <v>51</v>
      </c>
      <c r="B17" s="76" t="s">
        <v>45</v>
      </c>
      <c r="C17" s="52" t="s">
        <v>49</v>
      </c>
      <c r="D17" s="52" t="n">
        <v>1</v>
      </c>
      <c r="E17" s="52" t="n">
        <v>1</v>
      </c>
      <c r="F17" s="54" t="n">
        <v>0.063</v>
      </c>
      <c r="G17" s="53" t="n">
        <v>1</v>
      </c>
      <c r="H17" s="75" t="n">
        <f aca="false">E17*F17*G17</f>
        <v>0.063</v>
      </c>
      <c r="I17" s="73" t="n">
        <f aca="false">(0.00349*14)/F17</f>
        <v>0.775555555555556</v>
      </c>
      <c r="J17" s="73" t="n">
        <v>0.5</v>
      </c>
      <c r="K17" s="75" t="n">
        <f aca="false">(H17*I17)/J17*D17</f>
        <v>0.09772</v>
      </c>
      <c r="L17" s="53" t="n">
        <f aca="false">K17*4</f>
        <v>0.39088</v>
      </c>
      <c r="M17" s="60" t="n">
        <v>0.5</v>
      </c>
      <c r="N17" s="53" t="n">
        <f aca="false">M17*L17</f>
        <v>0.19544</v>
      </c>
      <c r="O17" s="52"/>
      <c r="P17" s="52"/>
      <c r="Q17" s="52"/>
      <c r="R17" s="73"/>
      <c r="S17" s="56" t="n">
        <f aca="false">J17/I17</f>
        <v>0.644699140401146</v>
      </c>
      <c r="V17" s="52"/>
    </row>
    <row r="18" customFormat="false" ht="23.85" hidden="false" customHeight="false" outlineLevel="0" collapsed="false">
      <c r="A18" s="52"/>
      <c r="B18" s="52"/>
      <c r="C18" s="52" t="s">
        <v>52</v>
      </c>
      <c r="D18" s="52"/>
      <c r="E18" s="52"/>
      <c r="F18" s="54"/>
      <c r="G18" s="53"/>
      <c r="H18" s="53"/>
      <c r="I18" s="73"/>
      <c r="J18" s="73"/>
      <c r="K18" s="53"/>
      <c r="L18" s="53"/>
      <c r="M18" s="60"/>
      <c r="N18" s="53"/>
      <c r="O18" s="52"/>
      <c r="P18" s="52"/>
      <c r="Q18" s="52"/>
      <c r="R18" s="73"/>
      <c r="S18" s="56"/>
      <c r="V18" s="52"/>
    </row>
    <row r="19" customFormat="false" ht="12.8" hidden="false" customHeight="false" outlineLevel="0" collapsed="false">
      <c r="A19" s="52"/>
      <c r="B19" s="52"/>
      <c r="C19" s="52"/>
      <c r="D19" s="52"/>
      <c r="E19" s="52"/>
      <c r="F19" s="54"/>
      <c r="G19" s="53"/>
      <c r="H19" s="53"/>
      <c r="I19" s="73"/>
      <c r="J19" s="73"/>
      <c r="K19" s="53"/>
      <c r="L19" s="53"/>
      <c r="M19" s="60"/>
      <c r="N19" s="53"/>
      <c r="O19" s="52"/>
      <c r="P19" s="52"/>
      <c r="Q19" s="52"/>
      <c r="R19" s="73"/>
      <c r="S19" s="56"/>
      <c r="V19" s="52"/>
    </row>
    <row r="20" customFormat="false" ht="12.8" hidden="false" customHeight="false" outlineLevel="0" collapsed="false">
      <c r="A20" s="52"/>
      <c r="B20" s="52"/>
      <c r="C20" s="52"/>
      <c r="D20" s="52"/>
      <c r="E20" s="52"/>
      <c r="F20" s="54"/>
      <c r="G20" s="53"/>
      <c r="H20" s="53"/>
      <c r="I20" s="73"/>
      <c r="J20" s="73"/>
      <c r="K20" s="53"/>
      <c r="L20" s="53"/>
      <c r="M20" s="60"/>
      <c r="N20" s="53"/>
      <c r="O20" s="52"/>
      <c r="P20" s="52"/>
      <c r="Q20" s="52"/>
      <c r="R20" s="73"/>
      <c r="S20" s="56"/>
      <c r="V20" s="52"/>
    </row>
    <row r="21" customFormat="false" ht="12.8" hidden="false" customHeight="false" outlineLevel="0" collapsed="false">
      <c r="A21" s="52"/>
      <c r="B21" s="52"/>
      <c r="C21" s="52"/>
      <c r="D21" s="52"/>
      <c r="E21" s="52"/>
      <c r="F21" s="54"/>
      <c r="G21" s="53"/>
      <c r="H21" s="53"/>
      <c r="I21" s="73"/>
      <c r="J21" s="73"/>
      <c r="K21" s="53"/>
      <c r="L21" s="53"/>
      <c r="M21" s="60"/>
      <c r="N21" s="53"/>
      <c r="O21" s="52"/>
      <c r="P21" s="52"/>
      <c r="Q21" s="52"/>
      <c r="R21" s="73"/>
      <c r="S21" s="56"/>
      <c r="V21" s="52"/>
    </row>
    <row r="22" customFormat="false" ht="12.8" hidden="false" customHeight="false" outlineLevel="0" collapsed="false">
      <c r="A22" s="52"/>
      <c r="B22" s="52"/>
      <c r="C22" s="52"/>
      <c r="D22" s="52"/>
      <c r="E22" s="52"/>
      <c r="F22" s="54"/>
      <c r="G22" s="53"/>
      <c r="H22" s="53"/>
      <c r="I22" s="73"/>
      <c r="J22" s="73"/>
      <c r="K22" s="53"/>
      <c r="L22" s="53"/>
      <c r="M22" s="60"/>
      <c r="N22" s="53"/>
      <c r="O22" s="52"/>
      <c r="P22" s="52"/>
      <c r="Q22" s="52"/>
      <c r="R22" s="73"/>
      <c r="S22" s="56"/>
      <c r="V22" s="52"/>
    </row>
    <row r="23" customFormat="false" ht="12.8" hidden="false" customHeight="false" outlineLevel="0" collapsed="false">
      <c r="A23" s="52"/>
      <c r="B23" s="52"/>
      <c r="C23" s="52"/>
      <c r="D23" s="52"/>
      <c r="E23" s="52"/>
      <c r="F23" s="54"/>
      <c r="G23" s="53"/>
      <c r="H23" s="53"/>
      <c r="I23" s="73"/>
      <c r="J23" s="73"/>
      <c r="K23" s="53"/>
      <c r="L23" s="53"/>
      <c r="M23" s="60"/>
      <c r="N23" s="53"/>
      <c r="O23" s="52"/>
      <c r="P23" s="52"/>
      <c r="Q23" s="52"/>
      <c r="R23" s="73"/>
      <c r="S23" s="56"/>
      <c r="V23" s="52"/>
    </row>
    <row r="24" customFormat="false" ht="12.8" hidden="false" customHeight="false" outlineLevel="0" collapsed="false">
      <c r="A24" s="52"/>
      <c r="B24" s="52"/>
      <c r="C24" s="52"/>
      <c r="D24" s="52"/>
      <c r="E24" s="52"/>
      <c r="F24" s="54"/>
      <c r="G24" s="53"/>
      <c r="H24" s="53"/>
      <c r="I24" s="73"/>
      <c r="J24" s="73"/>
      <c r="K24" s="53"/>
      <c r="L24" s="53"/>
      <c r="M24" s="60"/>
      <c r="N24" s="53"/>
      <c r="O24" s="52"/>
      <c r="P24" s="52"/>
      <c r="Q24" s="52"/>
      <c r="R24" s="73"/>
      <c r="S24" s="56"/>
      <c r="V24" s="52"/>
    </row>
    <row r="25" customFormat="false" ht="12.8" hidden="false" customHeight="false" outlineLevel="0" collapsed="false">
      <c r="A25" s="52"/>
      <c r="B25" s="52"/>
      <c r="C25" s="52"/>
      <c r="D25" s="52"/>
      <c r="E25" s="52"/>
      <c r="F25" s="54"/>
      <c r="G25" s="53"/>
      <c r="H25" s="53"/>
      <c r="I25" s="73"/>
      <c r="J25" s="73"/>
      <c r="K25" s="53"/>
      <c r="L25" s="53"/>
      <c r="M25" s="60"/>
      <c r="N25" s="53"/>
      <c r="O25" s="52"/>
      <c r="P25" s="52"/>
      <c r="Q25" s="52"/>
      <c r="R25" s="73"/>
      <c r="S25" s="56"/>
      <c r="V25" s="52"/>
    </row>
    <row r="26" customFormat="false" ht="12.8" hidden="false" customHeight="false" outlineLevel="0" collapsed="false">
      <c r="A26" s="52"/>
      <c r="B26" s="52"/>
      <c r="C26" s="52"/>
      <c r="D26" s="52"/>
      <c r="E26" s="52"/>
      <c r="F26" s="54"/>
      <c r="G26" s="53"/>
      <c r="H26" s="53"/>
      <c r="I26" s="73"/>
      <c r="J26" s="73"/>
      <c r="K26" s="53"/>
      <c r="L26" s="53"/>
      <c r="M26" s="60"/>
      <c r="N26" s="53"/>
      <c r="O26" s="52"/>
      <c r="P26" s="52"/>
      <c r="Q26" s="52"/>
      <c r="R26" s="73"/>
      <c r="S26" s="56"/>
      <c r="V26" s="52"/>
    </row>
    <row r="27" customFormat="false" ht="12.8" hidden="false" customHeight="false" outlineLevel="0" collapsed="false">
      <c r="A27" s="52"/>
      <c r="B27" s="52"/>
      <c r="C27" s="52"/>
      <c r="D27" s="52"/>
      <c r="E27" s="52"/>
      <c r="F27" s="54"/>
      <c r="G27" s="53"/>
      <c r="H27" s="53"/>
      <c r="I27" s="73"/>
      <c r="J27" s="73"/>
      <c r="K27" s="53"/>
      <c r="L27" s="53"/>
      <c r="M27" s="60"/>
      <c r="N27" s="53"/>
      <c r="O27" s="52"/>
      <c r="P27" s="52"/>
      <c r="Q27" s="52"/>
      <c r="R27" s="73"/>
      <c r="S27" s="56"/>
      <c r="V27" s="52"/>
    </row>
    <row r="28" customFormat="false" ht="12.8" hidden="false" customHeight="false" outlineLevel="0" collapsed="false">
      <c r="A28" s="52"/>
      <c r="B28" s="52"/>
      <c r="C28" s="52"/>
      <c r="D28" s="52"/>
      <c r="E28" s="52"/>
      <c r="F28" s="54"/>
      <c r="G28" s="53"/>
      <c r="H28" s="53"/>
      <c r="I28" s="73"/>
      <c r="J28" s="73"/>
      <c r="K28" s="53"/>
      <c r="L28" s="53"/>
      <c r="M28" s="60"/>
      <c r="N28" s="53"/>
      <c r="O28" s="52"/>
      <c r="P28" s="52"/>
      <c r="Q28" s="52"/>
      <c r="R28" s="73"/>
      <c r="S28" s="56"/>
      <c r="V28" s="52"/>
    </row>
    <row r="29" customFormat="false" ht="12.8" hidden="false" customHeight="false" outlineLevel="0" collapsed="false">
      <c r="A29" s="52"/>
      <c r="B29" s="52"/>
      <c r="C29" s="52"/>
      <c r="D29" s="52"/>
      <c r="E29" s="52"/>
      <c r="F29" s="54"/>
      <c r="G29" s="53"/>
      <c r="H29" s="53"/>
      <c r="I29" s="73"/>
      <c r="J29" s="73"/>
      <c r="K29" s="53"/>
      <c r="L29" s="53"/>
      <c r="M29" s="60"/>
      <c r="N29" s="53"/>
      <c r="O29" s="52"/>
      <c r="P29" s="52"/>
      <c r="Q29" s="52"/>
      <c r="R29" s="73"/>
      <c r="S29" s="56"/>
      <c r="V29" s="52"/>
    </row>
    <row r="30" customFormat="false" ht="12.8" hidden="false" customHeight="false" outlineLevel="0" collapsed="false">
      <c r="A30" s="52"/>
      <c r="B30" s="52"/>
      <c r="C30" s="52"/>
      <c r="D30" s="52"/>
      <c r="E30" s="52"/>
      <c r="F30" s="54"/>
      <c r="G30" s="53"/>
      <c r="H30" s="53"/>
      <c r="I30" s="73"/>
      <c r="J30" s="73"/>
      <c r="K30" s="53"/>
      <c r="L30" s="53"/>
      <c r="M30" s="60"/>
      <c r="N30" s="53"/>
      <c r="O30" s="52"/>
      <c r="P30" s="52"/>
      <c r="Q30" s="52"/>
      <c r="R30" s="73"/>
      <c r="S30" s="56"/>
      <c r="V30" s="52"/>
    </row>
    <row r="31" customFormat="false" ht="12.8" hidden="false" customHeight="false" outlineLevel="0" collapsed="false">
      <c r="A31" s="52"/>
      <c r="B31" s="52"/>
      <c r="C31" s="52"/>
      <c r="D31" s="52"/>
      <c r="E31" s="52"/>
      <c r="F31" s="54"/>
      <c r="G31" s="53"/>
      <c r="H31" s="53"/>
      <c r="I31" s="73"/>
      <c r="J31" s="73"/>
      <c r="K31" s="53"/>
      <c r="L31" s="53"/>
      <c r="M31" s="60"/>
      <c r="N31" s="53"/>
      <c r="O31" s="52"/>
      <c r="P31" s="52"/>
      <c r="Q31" s="52"/>
      <c r="R31" s="73"/>
      <c r="S31" s="56"/>
      <c r="V31" s="52"/>
    </row>
    <row r="32" customFormat="false" ht="12.8" hidden="false" customHeight="false" outlineLevel="0" collapsed="false">
      <c r="A32" s="52"/>
      <c r="B32" s="52"/>
      <c r="C32" s="52"/>
      <c r="D32" s="52"/>
      <c r="E32" s="52"/>
      <c r="F32" s="54"/>
      <c r="G32" s="53"/>
      <c r="H32" s="53"/>
      <c r="I32" s="73"/>
      <c r="J32" s="73"/>
      <c r="K32" s="53"/>
      <c r="L32" s="53"/>
      <c r="M32" s="60"/>
      <c r="N32" s="53"/>
      <c r="O32" s="52"/>
      <c r="P32" s="52"/>
      <c r="Q32" s="52"/>
      <c r="R32" s="73"/>
      <c r="S32" s="56"/>
      <c r="V32" s="52"/>
    </row>
    <row r="33" customFormat="false" ht="12.8" hidden="false" customHeight="false" outlineLevel="0" collapsed="false">
      <c r="A33" s="52"/>
      <c r="B33" s="52"/>
      <c r="C33" s="52"/>
      <c r="D33" s="52"/>
      <c r="E33" s="52"/>
      <c r="F33" s="54"/>
      <c r="G33" s="53"/>
      <c r="H33" s="53"/>
      <c r="I33" s="73"/>
      <c r="J33" s="73"/>
      <c r="K33" s="53"/>
      <c r="L33" s="53"/>
      <c r="M33" s="60"/>
      <c r="N33" s="53"/>
      <c r="O33" s="52"/>
      <c r="P33" s="52"/>
      <c r="Q33" s="52"/>
      <c r="R33" s="73"/>
      <c r="S33" s="56"/>
      <c r="V33" s="52"/>
    </row>
    <row r="34" customFormat="false" ht="12.8" hidden="false" customHeight="false" outlineLevel="0" collapsed="false">
      <c r="A34" s="52"/>
      <c r="B34" s="52"/>
      <c r="C34" s="52"/>
      <c r="D34" s="52"/>
      <c r="E34" s="52"/>
      <c r="F34" s="54"/>
      <c r="G34" s="53"/>
      <c r="H34" s="53"/>
      <c r="I34" s="73"/>
      <c r="J34" s="73"/>
      <c r="K34" s="53"/>
      <c r="L34" s="53"/>
      <c r="M34" s="60"/>
      <c r="N34" s="53"/>
      <c r="O34" s="52"/>
      <c r="P34" s="52"/>
      <c r="Q34" s="52"/>
      <c r="R34" s="73"/>
      <c r="S34" s="56"/>
      <c r="V34" s="52"/>
    </row>
    <row r="35" customFormat="false" ht="12.8" hidden="false" customHeight="false" outlineLevel="0" collapsed="false">
      <c r="A35" s="52"/>
      <c r="B35" s="52"/>
      <c r="C35" s="52"/>
      <c r="D35" s="52"/>
      <c r="E35" s="52"/>
      <c r="F35" s="54"/>
      <c r="G35" s="53"/>
      <c r="H35" s="53"/>
      <c r="I35" s="73"/>
      <c r="J35" s="73"/>
      <c r="K35" s="53"/>
      <c r="L35" s="53"/>
      <c r="M35" s="60"/>
      <c r="N35" s="53"/>
      <c r="O35" s="52"/>
      <c r="P35" s="52"/>
      <c r="Q35" s="52"/>
      <c r="R35" s="73"/>
      <c r="S35" s="56"/>
      <c r="V35" s="52"/>
    </row>
    <row r="36" customFormat="false" ht="12.8" hidden="false" customHeight="false" outlineLevel="0" collapsed="false">
      <c r="A36" s="52"/>
      <c r="B36" s="52"/>
      <c r="C36" s="52"/>
      <c r="D36" s="52"/>
      <c r="E36" s="52"/>
      <c r="F36" s="54"/>
      <c r="G36" s="53"/>
      <c r="H36" s="53"/>
      <c r="I36" s="73"/>
      <c r="J36" s="73"/>
      <c r="K36" s="53"/>
      <c r="L36" s="53"/>
      <c r="M36" s="60"/>
      <c r="N36" s="53"/>
      <c r="O36" s="52"/>
      <c r="P36" s="52"/>
      <c r="Q36" s="52"/>
      <c r="R36" s="73"/>
      <c r="S36" s="56"/>
      <c r="V36" s="52"/>
    </row>
    <row r="37" customFormat="false" ht="12.8" hidden="false" customHeight="false" outlineLevel="0" collapsed="false">
      <c r="A37" s="52"/>
      <c r="B37" s="52"/>
      <c r="C37" s="52"/>
      <c r="D37" s="52"/>
      <c r="E37" s="52"/>
      <c r="F37" s="54"/>
      <c r="G37" s="53"/>
      <c r="H37" s="53"/>
      <c r="I37" s="73"/>
      <c r="J37" s="73"/>
      <c r="K37" s="53"/>
      <c r="L37" s="53"/>
      <c r="M37" s="60"/>
      <c r="N37" s="53"/>
      <c r="O37" s="52"/>
      <c r="P37" s="52"/>
      <c r="Q37" s="52"/>
      <c r="R37" s="73"/>
      <c r="S37" s="56"/>
      <c r="V37" s="52"/>
    </row>
    <row r="38" customFormat="false" ht="12.8" hidden="false" customHeight="false" outlineLevel="0" collapsed="false">
      <c r="A38" s="52"/>
      <c r="B38" s="52"/>
      <c r="C38" s="52"/>
      <c r="D38" s="52"/>
      <c r="E38" s="52"/>
      <c r="F38" s="54"/>
      <c r="G38" s="53"/>
      <c r="H38" s="53"/>
      <c r="I38" s="73"/>
      <c r="J38" s="73"/>
      <c r="K38" s="53"/>
      <c r="L38" s="53"/>
      <c r="M38" s="60"/>
      <c r="N38" s="53"/>
      <c r="O38" s="52"/>
      <c r="P38" s="52"/>
      <c r="Q38" s="52"/>
      <c r="R38" s="73"/>
      <c r="S38" s="56"/>
      <c r="V38" s="52"/>
    </row>
    <row r="39" customFormat="false" ht="12.8" hidden="false" customHeight="false" outlineLevel="0" collapsed="false">
      <c r="A39" s="52"/>
      <c r="B39" s="52"/>
      <c r="C39" s="52"/>
      <c r="D39" s="52"/>
      <c r="E39" s="52"/>
      <c r="F39" s="54"/>
      <c r="G39" s="53"/>
      <c r="H39" s="53"/>
      <c r="I39" s="73"/>
      <c r="J39" s="73"/>
      <c r="K39" s="53"/>
      <c r="L39" s="53"/>
      <c r="M39" s="60"/>
      <c r="N39" s="53"/>
      <c r="O39" s="52"/>
      <c r="P39" s="52"/>
      <c r="Q39" s="52"/>
      <c r="R39" s="73"/>
      <c r="S39" s="56"/>
      <c r="V39" s="52"/>
    </row>
    <row r="40" customFormat="false" ht="12.8" hidden="false" customHeight="false" outlineLevel="0" collapsed="false">
      <c r="A40" s="52"/>
      <c r="B40" s="52"/>
      <c r="C40" s="52"/>
      <c r="D40" s="52"/>
      <c r="E40" s="52"/>
      <c r="F40" s="54"/>
      <c r="G40" s="53"/>
      <c r="H40" s="53"/>
      <c r="I40" s="73"/>
      <c r="J40" s="73"/>
      <c r="K40" s="53"/>
      <c r="L40" s="53"/>
      <c r="M40" s="60"/>
      <c r="N40" s="53"/>
      <c r="O40" s="52"/>
      <c r="P40" s="52"/>
      <c r="Q40" s="52"/>
      <c r="R40" s="73"/>
      <c r="S40" s="56"/>
      <c r="V40" s="52"/>
    </row>
    <row r="41" customFormat="false" ht="12.8" hidden="false" customHeight="false" outlineLevel="0" collapsed="false">
      <c r="A41" s="52"/>
      <c r="B41" s="52"/>
      <c r="C41" s="52"/>
      <c r="D41" s="52"/>
      <c r="E41" s="52"/>
      <c r="F41" s="54"/>
      <c r="G41" s="53"/>
      <c r="H41" s="53"/>
      <c r="I41" s="73"/>
      <c r="J41" s="73"/>
      <c r="K41" s="53"/>
      <c r="L41" s="53"/>
      <c r="M41" s="60"/>
      <c r="N41" s="53"/>
      <c r="O41" s="52"/>
      <c r="P41" s="52"/>
      <c r="Q41" s="52"/>
      <c r="R41" s="73"/>
      <c r="S41" s="56"/>
      <c r="V41" s="52"/>
    </row>
    <row r="42" customFormat="false" ht="12.8" hidden="false" customHeight="false" outlineLevel="0" collapsed="false">
      <c r="A42" s="52"/>
      <c r="B42" s="52"/>
      <c r="C42" s="52"/>
      <c r="D42" s="52"/>
      <c r="E42" s="52"/>
      <c r="F42" s="54"/>
      <c r="G42" s="53"/>
      <c r="H42" s="53"/>
      <c r="I42" s="73"/>
      <c r="J42" s="73"/>
      <c r="K42" s="53"/>
      <c r="L42" s="53"/>
      <c r="M42" s="60"/>
      <c r="N42" s="53"/>
      <c r="O42" s="52"/>
      <c r="P42" s="52"/>
      <c r="Q42" s="52"/>
      <c r="R42" s="73"/>
      <c r="S42" s="56"/>
      <c r="V42" s="52"/>
    </row>
    <row r="43" customFormat="false" ht="12.8" hidden="false" customHeight="false" outlineLevel="0" collapsed="false">
      <c r="A43" s="52"/>
      <c r="B43" s="52"/>
      <c r="C43" s="52"/>
      <c r="D43" s="52"/>
      <c r="E43" s="52"/>
      <c r="F43" s="54"/>
      <c r="G43" s="53"/>
      <c r="H43" s="53"/>
      <c r="I43" s="73"/>
      <c r="J43" s="73"/>
      <c r="K43" s="53"/>
      <c r="L43" s="53"/>
      <c r="M43" s="60"/>
      <c r="N43" s="53"/>
      <c r="O43" s="52"/>
      <c r="P43" s="52"/>
      <c r="Q43" s="52"/>
      <c r="R43" s="73"/>
      <c r="S43" s="56"/>
      <c r="V43" s="52"/>
    </row>
    <row r="44" customFormat="false" ht="12.8" hidden="false" customHeight="false" outlineLevel="0" collapsed="false">
      <c r="A44" s="52"/>
      <c r="B44" s="52"/>
      <c r="C44" s="52"/>
      <c r="D44" s="52"/>
      <c r="E44" s="52"/>
      <c r="F44" s="54"/>
      <c r="G44" s="53"/>
      <c r="H44" s="53"/>
      <c r="I44" s="73"/>
      <c r="J44" s="73"/>
      <c r="K44" s="53"/>
      <c r="L44" s="53"/>
      <c r="M44" s="60"/>
      <c r="N44" s="53"/>
      <c r="O44" s="52"/>
      <c r="P44" s="52"/>
      <c r="Q44" s="52"/>
      <c r="R44" s="73"/>
      <c r="S44" s="56"/>
      <c r="V44" s="52"/>
    </row>
    <row r="45" customFormat="false" ht="12.8" hidden="false" customHeight="false" outlineLevel="0" collapsed="false">
      <c r="A45" s="52"/>
      <c r="B45" s="52"/>
      <c r="C45" s="52"/>
      <c r="D45" s="52"/>
      <c r="E45" s="52"/>
      <c r="F45" s="54"/>
      <c r="G45" s="53"/>
      <c r="H45" s="53"/>
      <c r="I45" s="73"/>
      <c r="J45" s="73"/>
      <c r="K45" s="53"/>
      <c r="L45" s="53"/>
      <c r="M45" s="60"/>
      <c r="N45" s="53"/>
      <c r="O45" s="52"/>
      <c r="P45" s="52"/>
      <c r="Q45" s="52"/>
      <c r="R45" s="73"/>
      <c r="S45" s="56"/>
      <c r="V45" s="52"/>
    </row>
    <row r="46" customFormat="false" ht="12.8" hidden="false" customHeight="false" outlineLevel="0" collapsed="false">
      <c r="A46" s="52"/>
      <c r="B46" s="52"/>
      <c r="C46" s="52"/>
      <c r="D46" s="52"/>
      <c r="E46" s="52"/>
      <c r="F46" s="54"/>
      <c r="G46" s="53"/>
      <c r="H46" s="53"/>
      <c r="I46" s="73"/>
      <c r="J46" s="73"/>
      <c r="K46" s="53"/>
      <c r="L46" s="53"/>
      <c r="M46" s="60"/>
      <c r="N46" s="53"/>
      <c r="O46" s="52"/>
      <c r="P46" s="52"/>
      <c r="Q46" s="52"/>
      <c r="R46" s="73"/>
      <c r="S46" s="56"/>
      <c r="V46" s="52"/>
    </row>
    <row r="47" customFormat="false" ht="12.8" hidden="false" customHeight="false" outlineLevel="0" collapsed="false">
      <c r="A47" s="52"/>
      <c r="B47" s="52"/>
      <c r="C47" s="52"/>
      <c r="D47" s="52"/>
      <c r="E47" s="52"/>
      <c r="F47" s="54"/>
      <c r="G47" s="53"/>
      <c r="H47" s="53"/>
      <c r="I47" s="73"/>
      <c r="J47" s="73"/>
      <c r="K47" s="53"/>
      <c r="L47" s="53"/>
      <c r="M47" s="60"/>
      <c r="N47" s="53"/>
      <c r="O47" s="52"/>
      <c r="P47" s="52"/>
      <c r="Q47" s="52"/>
      <c r="R47" s="73"/>
      <c r="S47" s="56"/>
      <c r="V47" s="52"/>
    </row>
    <row r="48" customFormat="false" ht="12.8" hidden="false" customHeight="false" outlineLevel="0" collapsed="false">
      <c r="A48" s="52"/>
      <c r="B48" s="52"/>
      <c r="C48" s="52"/>
      <c r="D48" s="52"/>
      <c r="E48" s="52"/>
      <c r="F48" s="54"/>
      <c r="G48" s="53"/>
      <c r="H48" s="53"/>
      <c r="I48" s="73"/>
      <c r="J48" s="73"/>
      <c r="K48" s="53"/>
      <c r="L48" s="53"/>
      <c r="M48" s="60"/>
      <c r="N48" s="53"/>
      <c r="O48" s="52"/>
      <c r="P48" s="52"/>
      <c r="Q48" s="52"/>
      <c r="R48" s="73"/>
      <c r="S48" s="56"/>
      <c r="V48" s="52"/>
    </row>
    <row r="49" customFormat="false" ht="12.8" hidden="false" customHeight="false" outlineLevel="0" collapsed="false">
      <c r="A49" s="52"/>
      <c r="B49" s="52"/>
      <c r="C49" s="52"/>
      <c r="D49" s="52"/>
      <c r="E49" s="52"/>
      <c r="F49" s="54"/>
      <c r="G49" s="53"/>
      <c r="H49" s="53"/>
      <c r="I49" s="73"/>
      <c r="J49" s="73"/>
      <c r="K49" s="53"/>
      <c r="L49" s="53"/>
      <c r="M49" s="60"/>
      <c r="N49" s="53"/>
      <c r="O49" s="52"/>
      <c r="P49" s="52"/>
      <c r="Q49" s="52"/>
      <c r="R49" s="73"/>
      <c r="S49" s="56"/>
      <c r="V49" s="52"/>
    </row>
    <row r="50" customFormat="false" ht="12.8" hidden="false" customHeight="false" outlineLevel="0" collapsed="false">
      <c r="A50" s="52"/>
      <c r="B50" s="52"/>
      <c r="C50" s="52"/>
      <c r="D50" s="52"/>
      <c r="E50" s="52"/>
      <c r="F50" s="54"/>
      <c r="G50" s="53"/>
      <c r="H50" s="53"/>
      <c r="I50" s="73"/>
      <c r="J50" s="73"/>
      <c r="K50" s="53"/>
      <c r="L50" s="53"/>
      <c r="M50" s="60"/>
      <c r="N50" s="53"/>
      <c r="O50" s="52"/>
      <c r="P50" s="52"/>
      <c r="Q50" s="52"/>
      <c r="R50" s="73"/>
      <c r="S50" s="56"/>
      <c r="V50" s="52"/>
    </row>
    <row r="51" customFormat="false" ht="12.8" hidden="false" customHeight="false" outlineLevel="0" collapsed="false">
      <c r="A51" s="52"/>
      <c r="B51" s="52"/>
      <c r="C51" s="52"/>
      <c r="D51" s="52"/>
      <c r="E51" s="52"/>
      <c r="F51" s="54"/>
      <c r="G51" s="53"/>
      <c r="H51" s="53"/>
      <c r="I51" s="73"/>
      <c r="J51" s="73"/>
      <c r="K51" s="53"/>
      <c r="L51" s="53"/>
      <c r="M51" s="60"/>
      <c r="N51" s="53"/>
      <c r="O51" s="52"/>
      <c r="P51" s="52"/>
      <c r="Q51" s="52"/>
      <c r="R51" s="73"/>
      <c r="S51" s="56"/>
      <c r="V51" s="52"/>
    </row>
    <row r="52" customFormat="false" ht="12.8" hidden="false" customHeight="false" outlineLevel="0" collapsed="false">
      <c r="A52" s="52"/>
      <c r="B52" s="52"/>
      <c r="C52" s="52"/>
      <c r="D52" s="52"/>
      <c r="E52" s="52"/>
      <c r="F52" s="54"/>
      <c r="G52" s="53"/>
      <c r="H52" s="53"/>
      <c r="I52" s="73"/>
      <c r="J52" s="73"/>
      <c r="K52" s="53"/>
      <c r="L52" s="53"/>
      <c r="M52" s="60"/>
      <c r="N52" s="53"/>
      <c r="O52" s="52"/>
      <c r="P52" s="52"/>
      <c r="Q52" s="52"/>
      <c r="R52" s="73"/>
      <c r="S52" s="56"/>
      <c r="V52" s="52"/>
    </row>
    <row r="53" customFormat="false" ht="12.8" hidden="false" customHeight="false" outlineLevel="0" collapsed="false">
      <c r="A53" s="52"/>
      <c r="B53" s="52"/>
      <c r="C53" s="52"/>
      <c r="D53" s="52"/>
      <c r="E53" s="52"/>
      <c r="F53" s="54"/>
      <c r="G53" s="53"/>
      <c r="H53" s="53"/>
      <c r="I53" s="73"/>
      <c r="J53" s="73"/>
      <c r="K53" s="53"/>
      <c r="L53" s="53"/>
      <c r="M53" s="60"/>
      <c r="N53" s="53"/>
      <c r="O53" s="52"/>
      <c r="P53" s="52"/>
      <c r="Q53" s="52"/>
      <c r="R53" s="73"/>
      <c r="S53" s="56"/>
      <c r="V53" s="52"/>
    </row>
    <row r="54" customFormat="false" ht="12.8" hidden="false" customHeight="false" outlineLevel="0" collapsed="false">
      <c r="A54" s="52"/>
      <c r="B54" s="52"/>
      <c r="C54" s="52"/>
      <c r="D54" s="52"/>
      <c r="E54" s="52"/>
      <c r="F54" s="54"/>
      <c r="G54" s="53"/>
      <c r="H54" s="53"/>
      <c r="I54" s="73"/>
      <c r="J54" s="73"/>
      <c r="K54" s="53"/>
      <c r="L54" s="53"/>
      <c r="M54" s="60"/>
      <c r="N54" s="53"/>
      <c r="O54" s="52"/>
      <c r="P54" s="52"/>
      <c r="Q54" s="52"/>
      <c r="R54" s="73"/>
      <c r="S54" s="56"/>
      <c r="V54" s="52"/>
    </row>
    <row r="55" customFormat="false" ht="12.8" hidden="false" customHeight="false" outlineLevel="0" collapsed="false">
      <c r="A55" s="52"/>
      <c r="B55" s="52"/>
      <c r="C55" s="52"/>
      <c r="D55" s="52"/>
      <c r="E55" s="52"/>
      <c r="F55" s="54"/>
      <c r="G55" s="53"/>
      <c r="H55" s="53"/>
      <c r="I55" s="73"/>
      <c r="J55" s="73"/>
      <c r="K55" s="53"/>
      <c r="L55" s="53"/>
      <c r="M55" s="60"/>
      <c r="N55" s="53"/>
      <c r="O55" s="52"/>
      <c r="P55" s="52"/>
      <c r="Q55" s="52"/>
      <c r="R55" s="73"/>
      <c r="S55" s="56"/>
      <c r="V55" s="52"/>
    </row>
    <row r="56" customFormat="false" ht="12.8" hidden="false" customHeight="false" outlineLevel="0" collapsed="false">
      <c r="A56" s="52"/>
      <c r="B56" s="52"/>
      <c r="C56" s="52"/>
      <c r="D56" s="52"/>
      <c r="E56" s="52"/>
      <c r="F56" s="54"/>
      <c r="G56" s="53"/>
      <c r="H56" s="53"/>
      <c r="I56" s="73"/>
      <c r="J56" s="73"/>
      <c r="K56" s="53"/>
      <c r="L56" s="53"/>
      <c r="M56" s="60"/>
      <c r="N56" s="53"/>
      <c r="O56" s="52"/>
      <c r="P56" s="52"/>
      <c r="Q56" s="52"/>
      <c r="R56" s="73"/>
      <c r="S56" s="56"/>
      <c r="V56" s="52"/>
    </row>
    <row r="57" customFormat="false" ht="12.8" hidden="false" customHeight="false" outlineLevel="0" collapsed="false">
      <c r="A57" s="52"/>
      <c r="B57" s="52"/>
      <c r="C57" s="52"/>
      <c r="D57" s="52"/>
      <c r="E57" s="52"/>
      <c r="F57" s="54"/>
      <c r="G57" s="53"/>
      <c r="H57" s="53"/>
      <c r="I57" s="73"/>
      <c r="J57" s="73"/>
      <c r="K57" s="53"/>
      <c r="L57" s="53"/>
      <c r="M57" s="60"/>
      <c r="N57" s="53"/>
      <c r="O57" s="52"/>
      <c r="P57" s="52"/>
      <c r="Q57" s="52"/>
      <c r="R57" s="73"/>
      <c r="S57" s="56"/>
      <c r="V57" s="52"/>
    </row>
    <row r="58" customFormat="false" ht="12.8" hidden="false" customHeight="false" outlineLevel="0" collapsed="false">
      <c r="A58" s="52"/>
      <c r="B58" s="52"/>
      <c r="C58" s="52"/>
      <c r="D58" s="52"/>
      <c r="E58" s="52"/>
      <c r="F58" s="54"/>
      <c r="G58" s="53"/>
      <c r="H58" s="53"/>
      <c r="I58" s="73"/>
      <c r="J58" s="73"/>
      <c r="K58" s="53"/>
      <c r="L58" s="53"/>
      <c r="M58" s="60"/>
      <c r="N58" s="53"/>
      <c r="O58" s="52"/>
      <c r="P58" s="52"/>
      <c r="Q58" s="52"/>
      <c r="R58" s="73"/>
      <c r="S58" s="56"/>
      <c r="V58" s="5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7" activeCellId="0" sqref="B2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92"/>
  </cols>
  <sheetData>
    <row r="1" customFormat="false" ht="12.8" hidden="false" customHeight="false" outlineLevel="0" collapsed="false">
      <c r="A1" s="62" t="s">
        <v>4</v>
      </c>
    </row>
    <row r="2" customFormat="false" ht="12.8" hidden="false" customHeight="false" outlineLevel="0" collapsed="false">
      <c r="A2" s="79" t="s">
        <v>68</v>
      </c>
    </row>
    <row r="3" customFormat="false" ht="12.8" hidden="false" customHeight="false" outlineLevel="0" collapsed="false">
      <c r="A3" s="79" t="s">
        <v>69</v>
      </c>
    </row>
    <row r="4" customFormat="false" ht="12.8" hidden="false" customHeight="false" outlineLevel="0" collapsed="false">
      <c r="A4" s="79" t="s">
        <v>32</v>
      </c>
    </row>
    <row r="5" customFormat="false" ht="12.8" hidden="false" customHeight="false" outlineLevel="0" collapsed="false">
      <c r="A5" s="79" t="s">
        <v>70</v>
      </c>
    </row>
    <row r="6" customFormat="false" ht="12.8" hidden="false" customHeight="false" outlineLevel="0" collapsed="false">
      <c r="A6" s="79" t="s">
        <v>71</v>
      </c>
    </row>
    <row r="7" customFormat="false" ht="12.8" hidden="false" customHeight="false" outlineLevel="0" collapsed="false">
      <c r="A7" s="79" t="s">
        <v>72</v>
      </c>
    </row>
    <row r="8" customFormat="false" ht="12.8" hidden="false" customHeight="false" outlineLevel="0" collapsed="false">
      <c r="A8" s="79" t="s">
        <v>73</v>
      </c>
    </row>
    <row r="9" customFormat="false" ht="23.85" hidden="false" customHeight="false" outlineLevel="0" collapsed="false">
      <c r="A9" s="79" t="s">
        <v>74</v>
      </c>
    </row>
    <row r="10" customFormat="false" ht="12.8" hidden="false" customHeight="false" outlineLevel="0" collapsed="false">
      <c r="A10" s="79" t="s">
        <v>75</v>
      </c>
    </row>
    <row r="11" customFormat="false" ht="23.85" hidden="false" customHeight="false" outlineLevel="0" collapsed="false">
      <c r="A11" s="79" t="s">
        <v>76</v>
      </c>
    </row>
    <row r="12" customFormat="false" ht="12.8" hidden="false" customHeight="false" outlineLevel="0" collapsed="false">
      <c r="A12" s="79" t="s">
        <v>77</v>
      </c>
    </row>
    <row r="13" customFormat="false" ht="23.85" hidden="false" customHeight="false" outlineLevel="0" collapsed="false">
      <c r="A13" s="79" t="s">
        <v>78</v>
      </c>
    </row>
    <row r="14" customFormat="false" ht="23.85" hidden="false" customHeight="false" outlineLevel="0" collapsed="false">
      <c r="A14" s="79" t="s">
        <v>79</v>
      </c>
    </row>
    <row r="15" customFormat="false" ht="12.8" hidden="false" customHeight="false" outlineLevel="0" collapsed="false">
      <c r="A15" s="79" t="s">
        <v>80</v>
      </c>
    </row>
    <row r="16" customFormat="false" ht="12.8" hidden="false" customHeight="false" outlineLevel="0" collapsed="false">
      <c r="A16" s="79" t="s">
        <v>81</v>
      </c>
    </row>
    <row r="17" customFormat="false" ht="23.85" hidden="false" customHeight="false" outlineLevel="0" collapsed="false">
      <c r="A17" s="79" t="s">
        <v>82</v>
      </c>
    </row>
    <row r="18" customFormat="false" ht="12.8" hidden="false" customHeight="false" outlineLevel="0" collapsed="false">
      <c r="A18" s="79" t="s">
        <v>83</v>
      </c>
    </row>
    <row r="19" customFormat="false" ht="23.85" hidden="false" customHeight="false" outlineLevel="0" collapsed="false">
      <c r="A19" s="79" t="s">
        <v>84</v>
      </c>
    </row>
    <row r="20" customFormat="false" ht="12.8" hidden="false" customHeight="false" outlineLevel="0" collapsed="false">
      <c r="A20" s="79" t="s">
        <v>85</v>
      </c>
    </row>
    <row r="21" customFormat="false" ht="23.85" hidden="false" customHeight="false" outlineLevel="0" collapsed="false">
      <c r="A21" s="79" t="s">
        <v>86</v>
      </c>
    </row>
    <row r="22" customFormat="false" ht="12.8" hidden="false" customHeight="false" outlineLevel="0" collapsed="false">
      <c r="A22" s="79" t="s">
        <v>87</v>
      </c>
    </row>
    <row r="23" customFormat="false" ht="12.8" hidden="false" customHeight="false" outlineLevel="0" collapsed="false">
      <c r="A23" s="79" t="s">
        <v>88</v>
      </c>
    </row>
    <row r="24" customFormat="false" ht="23.85" hidden="false" customHeight="false" outlineLevel="0" collapsed="false">
      <c r="A24" s="79" t="s">
        <v>89</v>
      </c>
    </row>
    <row r="25" customFormat="false" ht="12.8" hidden="false" customHeight="false" outlineLevel="0" collapsed="false">
      <c r="A25" s="79" t="s">
        <v>90</v>
      </c>
    </row>
    <row r="26" customFormat="false" ht="12.8" hidden="false" customHeight="false" outlineLevel="0" collapsed="false">
      <c r="A26" s="79" t="s">
        <v>91</v>
      </c>
    </row>
    <row r="27" customFormat="false" ht="23.85" hidden="false" customHeight="false" outlineLevel="0" collapsed="false">
      <c r="A27" s="79" t="s">
        <v>92</v>
      </c>
    </row>
    <row r="28" customFormat="false" ht="23.85" hidden="false" customHeight="false" outlineLevel="0" collapsed="false">
      <c r="A28" s="79" t="s">
        <v>93</v>
      </c>
    </row>
    <row r="29" customFormat="false" ht="12.8" hidden="false" customHeight="false" outlineLevel="0" collapsed="false">
      <c r="A29" s="79" t="s">
        <v>94</v>
      </c>
    </row>
    <row r="30" customFormat="false" ht="23.85" hidden="false" customHeight="false" outlineLevel="0" collapsed="false">
      <c r="A30" s="79" t="s">
        <v>95</v>
      </c>
    </row>
    <row r="31" customFormat="false" ht="23.85" hidden="false" customHeight="false" outlineLevel="0" collapsed="false">
      <c r="A31" s="79" t="s">
        <v>96</v>
      </c>
    </row>
    <row r="32" customFormat="false" ht="12.8" hidden="false" customHeight="false" outlineLevel="0" collapsed="false">
      <c r="A32" s="79" t="s">
        <v>97</v>
      </c>
    </row>
    <row r="33" customFormat="false" ht="23.85" hidden="false" customHeight="false" outlineLevel="0" collapsed="false">
      <c r="A33" s="79" t="s">
        <v>98</v>
      </c>
    </row>
    <row r="34" customFormat="false" ht="23.85" hidden="false" customHeight="false" outlineLevel="0" collapsed="false">
      <c r="A34" s="79" t="s">
        <v>99</v>
      </c>
    </row>
    <row r="35" customFormat="false" ht="23.85" hidden="false" customHeight="false" outlineLevel="0" collapsed="false">
      <c r="A35" s="79" t="s">
        <v>100</v>
      </c>
    </row>
    <row r="36" customFormat="false" ht="23.85" hidden="false" customHeight="false" outlineLevel="0" collapsed="false">
      <c r="A36" s="79" t="s">
        <v>101</v>
      </c>
    </row>
    <row r="37" customFormat="false" ht="12.8" hidden="false" customHeight="false" outlineLevel="0" collapsed="false">
      <c r="A37" s="79" t="s">
        <v>102</v>
      </c>
    </row>
    <row r="38" customFormat="false" ht="23.85" hidden="false" customHeight="false" outlineLevel="0" collapsed="false">
      <c r="A38" s="79" t="s">
        <v>103</v>
      </c>
    </row>
    <row r="39" customFormat="false" ht="23.85" hidden="false" customHeight="false" outlineLevel="0" collapsed="false">
      <c r="A39" s="79" t="s">
        <v>104</v>
      </c>
    </row>
    <row r="40" customFormat="false" ht="46.25" hidden="false" customHeight="false" outlineLevel="0" collapsed="false">
      <c r="A40" s="79" t="s">
        <v>105</v>
      </c>
    </row>
    <row r="41" customFormat="false" ht="35.05" hidden="false" customHeight="false" outlineLevel="0" collapsed="false">
      <c r="A41" s="79" t="s">
        <v>106</v>
      </c>
    </row>
    <row r="42" customFormat="false" ht="23.85" hidden="false" customHeight="false" outlineLevel="0" collapsed="false">
      <c r="A42" s="79" t="s">
        <v>107</v>
      </c>
    </row>
    <row r="43" customFormat="false" ht="35.05" hidden="false" customHeight="false" outlineLevel="0" collapsed="false">
      <c r="A43" s="79" t="s">
        <v>108</v>
      </c>
    </row>
    <row r="44" customFormat="false" ht="46.25" hidden="false" customHeight="false" outlineLevel="0" collapsed="false">
      <c r="A44" s="79" t="s">
        <v>109</v>
      </c>
    </row>
    <row r="45" customFormat="false" ht="35.05" hidden="false" customHeight="false" outlineLevel="0" collapsed="false">
      <c r="A45" s="79" t="s">
        <v>110</v>
      </c>
    </row>
    <row r="46" customFormat="false" ht="12.8" hidden="false" customHeight="false" outlineLevel="0" collapsed="false">
      <c r="A46" s="79" t="s">
        <v>111</v>
      </c>
    </row>
    <row r="47" customFormat="false" ht="23.85" hidden="false" customHeight="false" outlineLevel="0" collapsed="false">
      <c r="A47" s="79" t="s">
        <v>112</v>
      </c>
    </row>
    <row r="48" customFormat="false" ht="23.85" hidden="false" customHeight="false" outlineLevel="0" collapsed="false">
      <c r="A48" s="79" t="s">
        <v>113</v>
      </c>
    </row>
    <row r="49" customFormat="false" ht="12.8" hidden="false" customHeight="false" outlineLevel="0" collapsed="false">
      <c r="A49" s="79" t="s">
        <v>44</v>
      </c>
    </row>
    <row r="50" customFormat="false" ht="12.8" hidden="false" customHeight="false" outlineLevel="0" collapsed="false">
      <c r="A50" s="79" t="s">
        <v>114</v>
      </c>
    </row>
    <row r="51" customFormat="false" ht="12.8" hidden="false" customHeight="false" outlineLevel="0" collapsed="false">
      <c r="A51" s="79" t="s">
        <v>115</v>
      </c>
    </row>
    <row r="52" customFormat="false" ht="12.8" hidden="false" customHeight="false" outlineLevel="0" collapsed="false">
      <c r="A52" s="79" t="s">
        <v>116</v>
      </c>
    </row>
    <row r="53" customFormat="false" ht="12.8" hidden="false" customHeight="false" outlineLevel="0" collapsed="false">
      <c r="A53" s="79" t="s">
        <v>117</v>
      </c>
    </row>
    <row r="54" customFormat="false" ht="12.8" hidden="false" customHeight="false" outlineLevel="0" collapsed="false">
      <c r="A54" s="79" t="s">
        <v>118</v>
      </c>
    </row>
    <row r="55" customFormat="false" ht="12.8" hidden="false" customHeight="false" outlineLevel="0" collapsed="false">
      <c r="A55" s="79" t="s">
        <v>119</v>
      </c>
    </row>
    <row r="56" customFormat="false" ht="12.8" hidden="false" customHeight="false" outlineLevel="0" collapsed="false">
      <c r="A56" s="79" t="s">
        <v>120</v>
      </c>
    </row>
    <row r="57" customFormat="false" ht="12.8" hidden="false" customHeight="false" outlineLevel="0" collapsed="false">
      <c r="A57" s="79" t="s">
        <v>121</v>
      </c>
    </row>
    <row r="58" customFormat="false" ht="12.8" hidden="false" customHeight="false" outlineLevel="0" collapsed="false">
      <c r="A58" s="79" t="s">
        <v>122</v>
      </c>
    </row>
    <row r="59" customFormat="false" ht="12.8" hidden="false" customHeight="false" outlineLevel="0" collapsed="false">
      <c r="A59" s="79" t="s">
        <v>123</v>
      </c>
    </row>
    <row r="60" customFormat="false" ht="12.8" hidden="false" customHeight="false" outlineLevel="0" collapsed="false">
      <c r="A60" s="79" t="s">
        <v>124</v>
      </c>
    </row>
    <row r="61" customFormat="false" ht="12.8" hidden="false" customHeight="false" outlineLevel="0" collapsed="false">
      <c r="A61" s="79" t="s">
        <v>125</v>
      </c>
    </row>
    <row r="62" customFormat="false" ht="12.8" hidden="false" customHeight="false" outlineLevel="0" collapsed="false">
      <c r="A62" s="79" t="s">
        <v>126</v>
      </c>
    </row>
    <row r="63" customFormat="false" ht="12.8" hidden="false" customHeight="false" outlineLevel="0" collapsed="false">
      <c r="A63" s="79" t="s">
        <v>127</v>
      </c>
    </row>
    <row r="64" customFormat="false" ht="12.8" hidden="false" customHeight="false" outlineLevel="0" collapsed="false">
      <c r="A64" s="79" t="s">
        <v>128</v>
      </c>
    </row>
    <row r="65" customFormat="false" ht="12.8" hidden="false" customHeight="false" outlineLevel="0" collapsed="false">
      <c r="A65" s="79" t="s">
        <v>129</v>
      </c>
    </row>
    <row r="66" customFormat="false" ht="12.8" hidden="false" customHeight="false" outlineLevel="0" collapsed="false">
      <c r="A66" s="79" t="s">
        <v>130</v>
      </c>
    </row>
    <row r="67" customFormat="false" ht="12.8" hidden="false" customHeight="false" outlineLevel="0" collapsed="false">
      <c r="A67" s="79" t="s">
        <v>131</v>
      </c>
    </row>
    <row r="68" customFormat="false" ht="12.8" hidden="false" customHeight="false" outlineLevel="0" collapsed="false">
      <c r="A68" s="79" t="s">
        <v>132</v>
      </c>
    </row>
    <row r="69" customFormat="false" ht="12.8" hidden="false" customHeight="false" outlineLevel="0" collapsed="false">
      <c r="A69" s="79" t="s">
        <v>133</v>
      </c>
    </row>
    <row r="70" customFormat="false" ht="12.8" hidden="false" customHeight="false" outlineLevel="0" collapsed="false">
      <c r="A70" s="79" t="s">
        <v>134</v>
      </c>
    </row>
    <row r="71" customFormat="false" ht="12.8" hidden="false" customHeight="false" outlineLevel="0" collapsed="false">
      <c r="A71" s="79" t="s">
        <v>135</v>
      </c>
    </row>
    <row r="72" customFormat="false" ht="12.8" hidden="false" customHeight="false" outlineLevel="0" collapsed="false">
      <c r="A72" s="79" t="s">
        <v>136</v>
      </c>
    </row>
    <row r="73" customFormat="false" ht="12.8" hidden="false" customHeight="false" outlineLevel="0" collapsed="false">
      <c r="A73" s="79" t="s">
        <v>137</v>
      </c>
    </row>
    <row r="74" customFormat="false" ht="12.8" hidden="false" customHeight="false" outlineLevel="0" collapsed="false">
      <c r="A74" s="79" t="s">
        <v>138</v>
      </c>
    </row>
    <row r="75" customFormat="false" ht="12.8" hidden="false" customHeight="false" outlineLevel="0" collapsed="false">
      <c r="A75" s="79" t="s">
        <v>139</v>
      </c>
    </row>
    <row r="76" customFormat="false" ht="12.8" hidden="false" customHeight="false" outlineLevel="0" collapsed="false">
      <c r="A76" s="79" t="s">
        <v>140</v>
      </c>
    </row>
    <row r="77" customFormat="false" ht="12.8" hidden="false" customHeight="false" outlineLevel="0" collapsed="false">
      <c r="A77" s="79" t="s">
        <v>141</v>
      </c>
    </row>
    <row r="78" customFormat="false" ht="12.8" hidden="false" customHeight="false" outlineLevel="0" collapsed="false">
      <c r="A78" s="79" t="s">
        <v>142</v>
      </c>
    </row>
    <row r="79" customFormat="false" ht="12.8" hidden="false" customHeight="false" outlineLevel="0" collapsed="false">
      <c r="A79" s="79" t="s">
        <v>143</v>
      </c>
    </row>
    <row r="80" customFormat="false" ht="12.8" hidden="false" customHeight="false" outlineLevel="0" collapsed="false">
      <c r="A80" s="79" t="s">
        <v>144</v>
      </c>
    </row>
    <row r="81" customFormat="false" ht="12.8" hidden="false" customHeight="false" outlineLevel="0" collapsed="false">
      <c r="A81" s="79" t="s">
        <v>145</v>
      </c>
    </row>
    <row r="82" customFormat="false" ht="12.8" hidden="false" customHeight="false" outlineLevel="0" collapsed="false">
      <c r="A82" s="79" t="s">
        <v>146</v>
      </c>
    </row>
    <row r="83" customFormat="false" ht="12.8" hidden="false" customHeight="false" outlineLevel="0" collapsed="false">
      <c r="A83" s="79" t="s">
        <v>147</v>
      </c>
    </row>
    <row r="84" customFormat="false" ht="12.8" hidden="false" customHeight="false" outlineLevel="0" collapsed="false">
      <c r="A84" s="79" t="s">
        <v>148</v>
      </c>
    </row>
    <row r="85" customFormat="false" ht="12.8" hidden="false" customHeight="false" outlineLevel="0" collapsed="false">
      <c r="A85" s="79" t="s">
        <v>149</v>
      </c>
    </row>
    <row r="86" customFormat="false" ht="12.8" hidden="false" customHeight="false" outlineLevel="0" collapsed="false">
      <c r="A86" s="79" t="s">
        <v>150</v>
      </c>
    </row>
    <row r="87" customFormat="false" ht="12.8" hidden="false" customHeight="false" outlineLevel="0" collapsed="false">
      <c r="A87" s="79" t="s">
        <v>151</v>
      </c>
    </row>
    <row r="88" customFormat="false" ht="12.8" hidden="false" customHeight="false" outlineLevel="0" collapsed="false">
      <c r="A88" s="79" t="s">
        <v>152</v>
      </c>
    </row>
    <row r="89" customFormat="false" ht="12.8" hidden="false" customHeight="false" outlineLevel="0" collapsed="false">
      <c r="A89" s="79" t="s">
        <v>153</v>
      </c>
    </row>
    <row r="90" customFormat="false" ht="12.8" hidden="false" customHeight="false" outlineLevel="0" collapsed="false">
      <c r="A90" s="79" t="s">
        <v>154</v>
      </c>
    </row>
    <row r="91" customFormat="false" ht="12.8" hidden="false" customHeight="false" outlineLevel="0" collapsed="false">
      <c r="A91" s="79" t="s">
        <v>155</v>
      </c>
    </row>
    <row r="92" customFormat="false" ht="12.8" hidden="false" customHeight="false" outlineLevel="0" collapsed="false">
      <c r="A92" s="79" t="s">
        <v>156</v>
      </c>
    </row>
    <row r="93" customFormat="false" ht="12.8" hidden="false" customHeight="false" outlineLevel="0" collapsed="false">
      <c r="A93" s="79" t="s">
        <v>157</v>
      </c>
    </row>
    <row r="94" customFormat="false" ht="12.8" hidden="false" customHeight="false" outlineLevel="0" collapsed="false">
      <c r="A94" s="79" t="s">
        <v>158</v>
      </c>
    </row>
    <row r="95" customFormat="false" ht="12.8" hidden="false" customHeight="false" outlineLevel="0" collapsed="false">
      <c r="A95" s="79" t="s">
        <v>159</v>
      </c>
    </row>
    <row r="96" customFormat="false" ht="12.8" hidden="false" customHeight="false" outlineLevel="0" collapsed="false">
      <c r="A96" s="79" t="s">
        <v>160</v>
      </c>
    </row>
    <row r="97" customFormat="false" ht="12.8" hidden="false" customHeight="false" outlineLevel="0" collapsed="false">
      <c r="A97" s="79" t="s">
        <v>161</v>
      </c>
    </row>
    <row r="98" customFormat="false" ht="12.8" hidden="false" customHeight="false" outlineLevel="0" collapsed="false">
      <c r="A98" s="79" t="s">
        <v>162</v>
      </c>
    </row>
    <row r="99" customFormat="false" ht="12.8" hidden="false" customHeight="false" outlineLevel="0" collapsed="false">
      <c r="A99" s="79" t="s">
        <v>163</v>
      </c>
    </row>
    <row r="100" customFormat="false" ht="12.8" hidden="false" customHeight="false" outlineLevel="0" collapsed="false">
      <c r="A100" s="79" t="s">
        <v>164</v>
      </c>
    </row>
    <row r="101" customFormat="false" ht="12.8" hidden="false" customHeight="false" outlineLevel="0" collapsed="false">
      <c r="A101" s="79" t="s">
        <v>165</v>
      </c>
    </row>
    <row r="102" customFormat="false" ht="12.8" hidden="false" customHeight="false" outlineLevel="0" collapsed="false">
      <c r="A102" s="79" t="s">
        <v>166</v>
      </c>
    </row>
    <row r="103" customFormat="false" ht="12.8" hidden="false" customHeight="false" outlineLevel="0" collapsed="false">
      <c r="A103" s="79" t="s">
        <v>167</v>
      </c>
    </row>
    <row r="104" customFormat="false" ht="12.8" hidden="false" customHeight="false" outlineLevel="0" collapsed="false">
      <c r="A104" s="79" t="s">
        <v>168</v>
      </c>
    </row>
    <row r="105" customFormat="false" ht="12.8" hidden="false" customHeight="false" outlineLevel="0" collapsed="false">
      <c r="A105" s="79" t="s">
        <v>169</v>
      </c>
    </row>
    <row r="106" customFormat="false" ht="12.8" hidden="false" customHeight="false" outlineLevel="0" collapsed="false">
      <c r="A106" s="79" t="s">
        <v>170</v>
      </c>
    </row>
    <row r="107" customFormat="false" ht="12.8" hidden="false" customHeight="false" outlineLevel="0" collapsed="false">
      <c r="A107" s="79" t="s">
        <v>171</v>
      </c>
    </row>
    <row r="108" customFormat="false" ht="12.8" hidden="false" customHeight="false" outlineLevel="0" collapsed="false">
      <c r="A108" s="79" t="s">
        <v>172</v>
      </c>
    </row>
    <row r="109" customFormat="false" ht="12.8" hidden="false" customHeight="false" outlineLevel="0" collapsed="false">
      <c r="A109" s="79" t="s">
        <v>173</v>
      </c>
    </row>
    <row r="110" customFormat="false" ht="12.8" hidden="false" customHeight="false" outlineLevel="0" collapsed="false">
      <c r="A110" s="79" t="s">
        <v>174</v>
      </c>
    </row>
    <row r="111" customFormat="false" ht="12.8" hidden="false" customHeight="false" outlineLevel="0" collapsed="false">
      <c r="A111" s="79" t="s">
        <v>175</v>
      </c>
    </row>
    <row r="112" customFormat="false" ht="12.8" hidden="false" customHeight="false" outlineLevel="0" collapsed="false">
      <c r="A112" s="79" t="s">
        <v>176</v>
      </c>
    </row>
    <row r="113" customFormat="false" ht="12.8" hidden="false" customHeight="false" outlineLevel="0" collapsed="false">
      <c r="A113" s="79" t="s">
        <v>177</v>
      </c>
    </row>
    <row r="114" customFormat="false" ht="12.8" hidden="false" customHeight="false" outlineLevel="0" collapsed="false">
      <c r="A114" s="79" t="s">
        <v>178</v>
      </c>
    </row>
    <row r="115" customFormat="false" ht="12.8" hidden="false" customHeight="false" outlineLevel="0" collapsed="false">
      <c r="A115" s="79" t="s">
        <v>179</v>
      </c>
    </row>
    <row r="116" customFormat="false" ht="12.8" hidden="false" customHeight="false" outlineLevel="0" collapsed="false">
      <c r="A116" s="79" t="s">
        <v>180</v>
      </c>
    </row>
    <row r="117" customFormat="false" ht="12.8" hidden="false" customHeight="false" outlineLevel="0" collapsed="false">
      <c r="A117" s="79" t="s">
        <v>181</v>
      </c>
    </row>
    <row r="118" customFormat="false" ht="12.8" hidden="false" customHeight="false" outlineLevel="0" collapsed="false">
      <c r="A118" s="79" t="s">
        <v>182</v>
      </c>
    </row>
    <row r="119" customFormat="false" ht="12.8" hidden="false" customHeight="false" outlineLevel="0" collapsed="false">
      <c r="A119" s="79" t="s">
        <v>183</v>
      </c>
    </row>
    <row r="120" customFormat="false" ht="12.8" hidden="false" customHeight="false" outlineLevel="0" collapsed="false">
      <c r="A120" s="79" t="s">
        <v>184</v>
      </c>
    </row>
    <row r="121" customFormat="false" ht="12.8" hidden="false" customHeight="false" outlineLevel="0" collapsed="false">
      <c r="A121" s="79" t="s">
        <v>185</v>
      </c>
    </row>
    <row r="122" customFormat="false" ht="12.8" hidden="false" customHeight="false" outlineLevel="0" collapsed="false">
      <c r="A122" s="79" t="s">
        <v>186</v>
      </c>
    </row>
    <row r="123" customFormat="false" ht="12.8" hidden="false" customHeight="false" outlineLevel="0" collapsed="false">
      <c r="A123" s="79" t="s">
        <v>187</v>
      </c>
    </row>
    <row r="124" customFormat="false" ht="12.8" hidden="false" customHeight="false" outlineLevel="0" collapsed="false">
      <c r="A124" s="79" t="s">
        <v>188</v>
      </c>
    </row>
    <row r="125" customFormat="false" ht="12.8" hidden="false" customHeight="false" outlineLevel="0" collapsed="false">
      <c r="A125" s="79" t="s">
        <v>189</v>
      </c>
    </row>
    <row r="126" customFormat="false" ht="12.8" hidden="false" customHeight="false" outlineLevel="0" collapsed="false">
      <c r="A126" s="79" t="s">
        <v>190</v>
      </c>
    </row>
    <row r="127" customFormat="false" ht="12.8" hidden="false" customHeight="false" outlineLevel="0" collapsed="false">
      <c r="A127" s="79" t="s">
        <v>191</v>
      </c>
    </row>
    <row r="128" customFormat="false" ht="12.8" hidden="false" customHeight="false" outlineLevel="0" collapsed="false">
      <c r="A128" s="79" t="s">
        <v>192</v>
      </c>
    </row>
    <row r="129" customFormat="false" ht="12.8" hidden="false" customHeight="false" outlineLevel="0" collapsed="false">
      <c r="A129" s="79" t="s">
        <v>193</v>
      </c>
    </row>
    <row r="130" customFormat="false" ht="12.8" hidden="false" customHeight="false" outlineLevel="0" collapsed="false">
      <c r="A130" s="79" t="s">
        <v>194</v>
      </c>
    </row>
    <row r="131" customFormat="false" ht="12.8" hidden="false" customHeight="false" outlineLevel="0" collapsed="false">
      <c r="A131" s="79" t="s">
        <v>195</v>
      </c>
    </row>
    <row r="132" customFormat="false" ht="12.8" hidden="false" customHeight="false" outlineLevel="0" collapsed="false">
      <c r="A132" s="79" t="s">
        <v>196</v>
      </c>
    </row>
    <row r="133" customFormat="false" ht="12.8" hidden="false" customHeight="false" outlineLevel="0" collapsed="false">
      <c r="A133" s="79" t="s">
        <v>197</v>
      </c>
    </row>
    <row r="134" customFormat="false" ht="12.8" hidden="false" customHeight="false" outlineLevel="0" collapsed="false">
      <c r="A134" s="79" t="s">
        <v>198</v>
      </c>
    </row>
    <row r="135" customFormat="false" ht="12.8" hidden="false" customHeight="false" outlineLevel="0" collapsed="false">
      <c r="A135" s="79" t="s">
        <v>199</v>
      </c>
    </row>
    <row r="136" customFormat="false" ht="12.8" hidden="false" customHeight="false" outlineLevel="0" collapsed="false">
      <c r="A136" s="79" t="s">
        <v>200</v>
      </c>
    </row>
    <row r="137" customFormat="false" ht="12.8" hidden="false" customHeight="false" outlineLevel="0" collapsed="false">
      <c r="A137" s="79" t="s">
        <v>201</v>
      </c>
    </row>
    <row r="138" customFormat="false" ht="12.8" hidden="false" customHeight="false" outlineLevel="0" collapsed="false">
      <c r="A138" s="79" t="s">
        <v>202</v>
      </c>
    </row>
    <row r="139" customFormat="false" ht="12.8" hidden="false" customHeight="false" outlineLevel="0" collapsed="false">
      <c r="A139" s="79" t="s">
        <v>203</v>
      </c>
    </row>
    <row r="140" customFormat="false" ht="12.8" hidden="false" customHeight="false" outlineLevel="0" collapsed="false">
      <c r="A140" s="79" t="s">
        <v>204</v>
      </c>
    </row>
    <row r="141" customFormat="false" ht="12.8" hidden="false" customHeight="false" outlineLevel="0" collapsed="false">
      <c r="A141" s="79" t="s">
        <v>205</v>
      </c>
    </row>
    <row r="142" customFormat="false" ht="12.8" hidden="false" customHeight="false" outlineLevel="0" collapsed="false">
      <c r="A142" s="79" t="s">
        <v>206</v>
      </c>
    </row>
    <row r="143" customFormat="false" ht="12.8" hidden="false" customHeight="false" outlineLevel="0" collapsed="false">
      <c r="A143" s="79" t="s">
        <v>207</v>
      </c>
    </row>
    <row r="144" customFormat="false" ht="12.8" hidden="false" customHeight="false" outlineLevel="0" collapsed="false">
      <c r="A144" s="79" t="s">
        <v>208</v>
      </c>
    </row>
    <row r="145" customFormat="false" ht="12.8" hidden="false" customHeight="false" outlineLevel="0" collapsed="false">
      <c r="A145" s="79" t="s">
        <v>209</v>
      </c>
    </row>
    <row r="146" customFormat="false" ht="12.8" hidden="false" customHeight="false" outlineLevel="0" collapsed="false">
      <c r="A146" s="79" t="s">
        <v>210</v>
      </c>
    </row>
    <row r="147" customFormat="false" ht="12.8" hidden="false" customHeight="false" outlineLevel="0" collapsed="false">
      <c r="A147" s="79" t="s">
        <v>211</v>
      </c>
    </row>
    <row r="148" customFormat="false" ht="12.8" hidden="false" customHeight="false" outlineLevel="0" collapsed="false">
      <c r="A148" s="79" t="s">
        <v>212</v>
      </c>
    </row>
    <row r="149" customFormat="false" ht="12.8" hidden="false" customHeight="false" outlineLevel="0" collapsed="false">
      <c r="A149" s="79" t="s">
        <v>213</v>
      </c>
    </row>
    <row r="150" customFormat="false" ht="12.8" hidden="false" customHeight="false" outlineLevel="0" collapsed="false">
      <c r="A150" s="79" t="s">
        <v>214</v>
      </c>
    </row>
    <row r="151" customFormat="false" ht="12.8" hidden="false" customHeight="false" outlineLevel="0" collapsed="false">
      <c r="A151" s="79" t="s">
        <v>215</v>
      </c>
    </row>
    <row r="152" customFormat="false" ht="12.8" hidden="false" customHeight="false" outlineLevel="0" collapsed="false">
      <c r="A152" s="79" t="s">
        <v>216</v>
      </c>
    </row>
    <row r="153" customFormat="false" ht="12.8" hidden="false" customHeight="false" outlineLevel="0" collapsed="false">
      <c r="A153" s="79" t="s">
        <v>217</v>
      </c>
    </row>
    <row r="154" customFormat="false" ht="12.8" hidden="false" customHeight="false" outlineLevel="0" collapsed="false">
      <c r="A154" s="79" t="s">
        <v>50</v>
      </c>
    </row>
    <row r="155" customFormat="false" ht="23.85" hidden="false" customHeight="false" outlineLevel="0" collapsed="false">
      <c r="A155" s="79" t="s">
        <v>51</v>
      </c>
    </row>
    <row r="156" customFormat="false" ht="12.8" hidden="false" customHeight="false" outlineLevel="0" collapsed="false">
      <c r="A156" s="79" t="s">
        <v>218</v>
      </c>
    </row>
    <row r="157" customFormat="false" ht="12.8" hidden="false" customHeight="false" outlineLevel="0" collapsed="false">
      <c r="A157" s="79" t="s">
        <v>219</v>
      </c>
    </row>
    <row r="158" customFormat="false" ht="23.85" hidden="false" customHeight="false" outlineLevel="0" collapsed="false">
      <c r="A158" s="79" t="s">
        <v>220</v>
      </c>
    </row>
    <row r="159" customFormat="false" ht="12.8" hidden="false" customHeight="false" outlineLevel="0" collapsed="false">
      <c r="A159" s="79" t="s">
        <v>221</v>
      </c>
    </row>
    <row r="160" customFormat="false" ht="12.8" hidden="false" customHeight="false" outlineLevel="0" collapsed="false">
      <c r="A160" s="79" t="s">
        <v>222</v>
      </c>
    </row>
    <row r="161" customFormat="false" ht="12.8" hidden="false" customHeight="false" outlineLevel="0" collapsed="false">
      <c r="A161" s="79" t="s">
        <v>223</v>
      </c>
    </row>
    <row r="162" customFormat="false" ht="12.8" hidden="false" customHeight="false" outlineLevel="0" collapsed="false">
      <c r="A162" s="79" t="s">
        <v>224</v>
      </c>
    </row>
    <row r="163" customFormat="false" ht="12.8" hidden="false" customHeight="false" outlineLevel="0" collapsed="false">
      <c r="A163" s="79" t="s">
        <v>225</v>
      </c>
    </row>
    <row r="164" customFormat="false" ht="12.8" hidden="false" customHeight="false" outlineLevel="0" collapsed="false">
      <c r="A164" s="79" t="s">
        <v>226</v>
      </c>
    </row>
    <row r="165" customFormat="false" ht="23.85" hidden="false" customHeight="false" outlineLevel="0" collapsed="false">
      <c r="A165" s="79" t="s">
        <v>227</v>
      </c>
    </row>
    <row r="166" customFormat="false" ht="23.85" hidden="false" customHeight="false" outlineLevel="0" collapsed="false">
      <c r="A166" s="79" t="s">
        <v>228</v>
      </c>
    </row>
    <row r="167" customFormat="false" ht="35.05" hidden="false" customHeight="false" outlineLevel="0" collapsed="false">
      <c r="A167" s="79" t="s">
        <v>229</v>
      </c>
    </row>
    <row r="168" customFormat="false" ht="23.85" hidden="false" customHeight="false" outlineLevel="0" collapsed="false">
      <c r="A168" s="79" t="s">
        <v>230</v>
      </c>
    </row>
    <row r="169" customFormat="false" ht="12.8" hidden="false" customHeight="false" outlineLevel="0" collapsed="false">
      <c r="A169" s="79" t="s">
        <v>231</v>
      </c>
    </row>
    <row r="170" customFormat="false" ht="12.8" hidden="false" customHeight="false" outlineLevel="0" collapsed="false">
      <c r="A170" s="79" t="s">
        <v>232</v>
      </c>
    </row>
    <row r="171" customFormat="false" ht="23.85" hidden="false" customHeight="false" outlineLevel="0" collapsed="false">
      <c r="A171" s="79" t="s">
        <v>233</v>
      </c>
    </row>
    <row r="172" customFormat="false" ht="12.8" hidden="false" customHeight="false" outlineLevel="0" collapsed="false">
      <c r="A172" s="79" t="s">
        <v>234</v>
      </c>
    </row>
    <row r="173" customFormat="false" ht="12.8" hidden="false" customHeight="false" outlineLevel="0" collapsed="false">
      <c r="A173" s="79" t="s">
        <v>235</v>
      </c>
    </row>
    <row r="174" customFormat="false" ht="12.8" hidden="false" customHeight="false" outlineLevel="0" collapsed="false">
      <c r="A174" s="79" t="s">
        <v>236</v>
      </c>
    </row>
    <row r="175" customFormat="false" ht="12.8" hidden="false" customHeight="false" outlineLevel="0" collapsed="false">
      <c r="A175" s="79" t="s">
        <v>237</v>
      </c>
    </row>
    <row r="176" customFormat="false" ht="12.8" hidden="false" customHeight="false" outlineLevel="0" collapsed="false">
      <c r="A176" s="79" t="s">
        <v>238</v>
      </c>
    </row>
    <row r="177" customFormat="false" ht="23.85" hidden="false" customHeight="false" outlineLevel="0" collapsed="false">
      <c r="A177" s="79" t="s">
        <v>239</v>
      </c>
    </row>
    <row r="178" customFormat="false" ht="12.8" hidden="false" customHeight="false" outlineLevel="0" collapsed="false">
      <c r="A178" s="79" t="s">
        <v>240</v>
      </c>
    </row>
    <row r="179" customFormat="false" ht="12.8" hidden="false" customHeight="false" outlineLevel="0" collapsed="false">
      <c r="A179" s="79" t="s">
        <v>241</v>
      </c>
    </row>
    <row r="180" customFormat="false" ht="12.8" hidden="false" customHeight="false" outlineLevel="0" collapsed="false">
      <c r="A180" s="79" t="s">
        <v>242</v>
      </c>
    </row>
    <row r="181" customFormat="false" ht="12.8" hidden="false" customHeight="false" outlineLevel="0" collapsed="false">
      <c r="A181" s="79" t="s">
        <v>243</v>
      </c>
    </row>
    <row r="182" customFormat="false" ht="12.8" hidden="false" customHeight="false" outlineLevel="0" collapsed="false">
      <c r="A182" s="79" t="s">
        <v>244</v>
      </c>
    </row>
    <row r="183" customFormat="false" ht="35.05" hidden="false" customHeight="false" outlineLevel="0" collapsed="false">
      <c r="A183" s="79" t="s">
        <v>245</v>
      </c>
    </row>
    <row r="184" customFormat="false" ht="23.85" hidden="false" customHeight="false" outlineLevel="0" collapsed="false">
      <c r="A184" s="79" t="s">
        <v>246</v>
      </c>
    </row>
    <row r="185" customFormat="false" ht="23.85" hidden="false" customHeight="false" outlineLevel="0" collapsed="false">
      <c r="A185" s="79" t="s">
        <v>247</v>
      </c>
    </row>
    <row r="186" customFormat="false" ht="23.85" hidden="false" customHeight="false" outlineLevel="0" collapsed="false">
      <c r="A186" s="79" t="s">
        <v>248</v>
      </c>
    </row>
    <row r="187" customFormat="false" ht="23.85" hidden="false" customHeight="false" outlineLevel="0" collapsed="false">
      <c r="A187" s="79" t="s">
        <v>249</v>
      </c>
    </row>
    <row r="188" customFormat="false" ht="12.8" hidden="false" customHeight="false" outlineLevel="0" collapsed="false">
      <c r="A188" s="79" t="s">
        <v>250</v>
      </c>
    </row>
    <row r="189" customFormat="false" ht="12.8" hidden="false" customHeight="false" outlineLevel="0" collapsed="false">
      <c r="A189" s="79" t="s">
        <v>251</v>
      </c>
    </row>
    <row r="190" customFormat="false" ht="35.05" hidden="false" customHeight="false" outlineLevel="0" collapsed="false">
      <c r="A190" s="79" t="s">
        <v>252</v>
      </c>
    </row>
    <row r="191" customFormat="false" ht="12.8" hidden="false" customHeight="false" outlineLevel="0" collapsed="false">
      <c r="A191" s="79" t="s">
        <v>253</v>
      </c>
    </row>
    <row r="192" customFormat="false" ht="12.8" hidden="false" customHeight="false" outlineLevel="0" collapsed="false">
      <c r="A192" s="79" t="s">
        <v>254</v>
      </c>
    </row>
    <row r="193" customFormat="false" ht="12.8" hidden="false" customHeight="false" outlineLevel="0" collapsed="false">
      <c r="A193" s="79" t="s">
        <v>255</v>
      </c>
    </row>
    <row r="194" customFormat="false" ht="12.8" hidden="false" customHeight="false" outlineLevel="0" collapsed="false">
      <c r="A194" s="79" t="s">
        <v>256</v>
      </c>
    </row>
    <row r="195" customFormat="false" ht="12.8" hidden="false" customHeight="false" outlineLevel="0" collapsed="false">
      <c r="A195" s="79" t="s">
        <v>257</v>
      </c>
    </row>
    <row r="196" customFormat="false" ht="12.8" hidden="false" customHeight="false" outlineLevel="0" collapsed="false">
      <c r="A196" s="79" t="s">
        <v>258</v>
      </c>
    </row>
    <row r="197" customFormat="false" ht="12.8" hidden="false" customHeight="false" outlineLevel="0" collapsed="false">
      <c r="A197" s="79" t="s">
        <v>259</v>
      </c>
    </row>
    <row r="198" customFormat="false" ht="12.8" hidden="false" customHeight="false" outlineLevel="0" collapsed="false">
      <c r="A198" s="79" t="s">
        <v>260</v>
      </c>
    </row>
    <row r="199" customFormat="false" ht="12.8" hidden="false" customHeight="false" outlineLevel="0" collapsed="false">
      <c r="A199" s="79" t="s">
        <v>261</v>
      </c>
    </row>
    <row r="200" customFormat="false" ht="23.85" hidden="false" customHeight="false" outlineLevel="0" collapsed="false">
      <c r="A200" s="79" t="s">
        <v>262</v>
      </c>
    </row>
    <row r="201" customFormat="false" ht="23.85" hidden="false" customHeight="false" outlineLevel="0" collapsed="false">
      <c r="A201" s="79" t="s">
        <v>263</v>
      </c>
    </row>
    <row r="202" customFormat="false" ht="12.8" hidden="false" customHeight="false" outlineLevel="0" collapsed="false">
      <c r="A202" s="79" t="s">
        <v>264</v>
      </c>
    </row>
    <row r="203" customFormat="false" ht="12.8" hidden="false" customHeight="false" outlineLevel="0" collapsed="false">
      <c r="A203" s="79" t="s">
        <v>265</v>
      </c>
    </row>
    <row r="204" customFormat="false" ht="12.8" hidden="false" customHeight="false" outlineLevel="0" collapsed="false">
      <c r="A204" s="79" t="s">
        <v>266</v>
      </c>
    </row>
    <row r="205" customFormat="false" ht="12.8" hidden="false" customHeight="false" outlineLevel="0" collapsed="false">
      <c r="A205" s="79" t="s">
        <v>267</v>
      </c>
    </row>
    <row r="206" customFormat="false" ht="23.85" hidden="false" customHeight="false" outlineLevel="0" collapsed="false">
      <c r="A206" s="79" t="s">
        <v>268</v>
      </c>
    </row>
    <row r="207" customFormat="false" ht="12.8" hidden="false" customHeight="false" outlineLevel="0" collapsed="false">
      <c r="A207" s="79" t="s">
        <v>269</v>
      </c>
    </row>
    <row r="208" customFormat="false" ht="12.8" hidden="false" customHeight="false" outlineLevel="0" collapsed="false">
      <c r="A208" s="79" t="s">
        <v>270</v>
      </c>
    </row>
    <row r="209" customFormat="false" ht="23.85" hidden="false" customHeight="false" outlineLevel="0" collapsed="false">
      <c r="A209" s="79" t="s">
        <v>271</v>
      </c>
    </row>
    <row r="210" customFormat="false" ht="12.8" hidden="false" customHeight="false" outlineLevel="0" collapsed="false">
      <c r="A210" s="79" t="s">
        <v>272</v>
      </c>
    </row>
    <row r="211" customFormat="false" ht="23.85" hidden="false" customHeight="false" outlineLevel="0" collapsed="false">
      <c r="A211" s="79" t="s">
        <v>273</v>
      </c>
    </row>
    <row r="212" customFormat="false" ht="23.85" hidden="false" customHeight="false" outlineLevel="0" collapsed="false">
      <c r="A212" s="79" t="s">
        <v>274</v>
      </c>
    </row>
    <row r="213" customFormat="false" ht="23.85" hidden="false" customHeight="false" outlineLevel="0" collapsed="false">
      <c r="A213" s="79" t="s">
        <v>275</v>
      </c>
    </row>
    <row r="214" customFormat="false" ht="23.85" hidden="false" customHeight="false" outlineLevel="0" collapsed="false">
      <c r="A214" s="79" t="s">
        <v>42</v>
      </c>
    </row>
    <row r="215" customFormat="false" ht="23.85" hidden="false" customHeight="false" outlineLevel="0" collapsed="false">
      <c r="A215" s="79" t="s">
        <v>276</v>
      </c>
    </row>
    <row r="216" customFormat="false" ht="23.85" hidden="false" customHeight="false" outlineLevel="0" collapsed="false">
      <c r="A216" s="79" t="s">
        <v>277</v>
      </c>
    </row>
    <row r="217" customFormat="false" ht="23.85" hidden="false" customHeight="false" outlineLevel="0" collapsed="false">
      <c r="A217" s="79" t="s">
        <v>278</v>
      </c>
    </row>
    <row r="218" customFormat="false" ht="35.05" hidden="false" customHeight="false" outlineLevel="0" collapsed="false">
      <c r="A218" s="79" t="s">
        <v>279</v>
      </c>
    </row>
    <row r="219" customFormat="false" ht="12.8" hidden="false" customHeight="false" outlineLevel="0" collapsed="false">
      <c r="A219" s="79" t="s">
        <v>280</v>
      </c>
    </row>
    <row r="220" customFormat="false" ht="35.05" hidden="false" customHeight="false" outlineLevel="0" collapsed="false">
      <c r="A220" s="79" t="s">
        <v>281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1" activeCellId="0" sqref="C111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0" width="37.19"/>
    <col collapsed="false" customWidth="true" hidden="false" outlineLevel="0" max="2" min="2" style="0" width="7.27"/>
    <col collapsed="false" customWidth="true" hidden="false" outlineLevel="0" max="3" min="3" style="0" width="21.69"/>
  </cols>
  <sheetData>
    <row r="1" customFormat="false" ht="14.65" hidden="false" customHeight="false" outlineLevel="0" collapsed="false">
      <c r="A1" s="80" t="s">
        <v>282</v>
      </c>
      <c r="B1" s="80" t="s">
        <v>283</v>
      </c>
      <c r="C1" s="80" t="s">
        <v>284</v>
      </c>
    </row>
    <row r="2" customFormat="false" ht="14.65" hidden="false" customHeight="false" outlineLevel="0" collapsed="false">
      <c r="A2" s="0" t="s">
        <v>285</v>
      </c>
      <c r="B2" s="0" t="s">
        <v>286</v>
      </c>
      <c r="C2" s="0" t="s">
        <v>287</v>
      </c>
    </row>
    <row r="3" customFormat="false" ht="14.65" hidden="false" customHeight="false" outlineLevel="0" collapsed="false">
      <c r="A3" s="0" t="s">
        <v>288</v>
      </c>
      <c r="B3" s="0" t="s">
        <v>289</v>
      </c>
      <c r="C3" s="0" t="s">
        <v>287</v>
      </c>
    </row>
    <row r="4" customFormat="false" ht="14.65" hidden="false" customHeight="false" outlineLevel="0" collapsed="false">
      <c r="A4" s="0" t="s">
        <v>290</v>
      </c>
      <c r="B4" s="0" t="s">
        <v>291</v>
      </c>
      <c r="C4" s="0" t="s">
        <v>287</v>
      </c>
    </row>
    <row r="5" customFormat="false" ht="14.65" hidden="false" customHeight="false" outlineLevel="0" collapsed="false">
      <c r="A5" s="0" t="s">
        <v>292</v>
      </c>
      <c r="B5" s="0" t="s">
        <v>293</v>
      </c>
      <c r="C5" s="0" t="s">
        <v>287</v>
      </c>
    </row>
    <row r="6" customFormat="false" ht="14.65" hidden="false" customHeight="false" outlineLevel="0" collapsed="false">
      <c r="A6" s="0" t="s">
        <v>294</v>
      </c>
      <c r="B6" s="0" t="s">
        <v>295</v>
      </c>
      <c r="C6" s="0" t="s">
        <v>287</v>
      </c>
    </row>
    <row r="7" customFormat="false" ht="14.65" hidden="false" customHeight="false" outlineLevel="0" collapsed="false">
      <c r="A7" s="0" t="s">
        <v>296</v>
      </c>
      <c r="B7" s="0" t="s">
        <v>297</v>
      </c>
      <c r="C7" s="0" t="s">
        <v>287</v>
      </c>
    </row>
    <row r="8" customFormat="false" ht="14.65" hidden="false" customHeight="false" outlineLevel="0" collapsed="false">
      <c r="A8" s="0" t="s">
        <v>298</v>
      </c>
      <c r="B8" s="0" t="s">
        <v>299</v>
      </c>
      <c r="C8" s="0" t="s">
        <v>287</v>
      </c>
    </row>
    <row r="9" customFormat="false" ht="14.65" hidden="false" customHeight="false" outlineLevel="0" collapsed="false">
      <c r="A9" s="0" t="s">
        <v>300</v>
      </c>
      <c r="B9" s="0" t="s">
        <v>301</v>
      </c>
      <c r="C9" s="0" t="s">
        <v>287</v>
      </c>
    </row>
    <row r="10" customFormat="false" ht="14.65" hidden="false" customHeight="false" outlineLevel="0" collapsed="false">
      <c r="A10" s="0" t="s">
        <v>257</v>
      </c>
      <c r="B10" s="0" t="s">
        <v>302</v>
      </c>
      <c r="C10" s="0" t="s">
        <v>303</v>
      </c>
    </row>
    <row r="11" customFormat="false" ht="14.65" hidden="false" customHeight="false" outlineLevel="0" collapsed="false">
      <c r="A11" s="0" t="s">
        <v>304</v>
      </c>
      <c r="B11" s="0" t="s">
        <v>305</v>
      </c>
      <c r="C11" s="0" t="s">
        <v>303</v>
      </c>
    </row>
    <row r="12" customFormat="false" ht="14.65" hidden="false" customHeight="false" outlineLevel="0" collapsed="false">
      <c r="A12" s="0" t="s">
        <v>256</v>
      </c>
      <c r="B12" s="0" t="s">
        <v>306</v>
      </c>
      <c r="C12" s="0" t="s">
        <v>303</v>
      </c>
    </row>
    <row r="13" customFormat="false" ht="14.65" hidden="false" customHeight="false" outlineLevel="0" collapsed="false">
      <c r="A13" s="0" t="s">
        <v>307</v>
      </c>
      <c r="B13" s="0" t="s">
        <v>308</v>
      </c>
      <c r="C13" s="0" t="s">
        <v>309</v>
      </c>
    </row>
    <row r="14" customFormat="false" ht="14.65" hidden="false" customHeight="false" outlineLevel="0" collapsed="false">
      <c r="A14" s="0" t="s">
        <v>310</v>
      </c>
      <c r="B14" s="0" t="s">
        <v>311</v>
      </c>
      <c r="C14" s="0" t="s">
        <v>303</v>
      </c>
    </row>
    <row r="15" customFormat="false" ht="14.65" hidden="false" customHeight="false" outlineLevel="0" collapsed="false">
      <c r="A15" s="0" t="s">
        <v>312</v>
      </c>
      <c r="B15" s="0" t="s">
        <v>313</v>
      </c>
      <c r="C15" s="0" t="s">
        <v>303</v>
      </c>
    </row>
    <row r="16" customFormat="false" ht="14.65" hidden="false" customHeight="false" outlineLevel="0" collapsed="false">
      <c r="A16" s="0" t="s">
        <v>314</v>
      </c>
      <c r="B16" s="0" t="s">
        <v>315</v>
      </c>
      <c r="C16" s="0" t="s">
        <v>303</v>
      </c>
    </row>
    <row r="17" customFormat="false" ht="14.65" hidden="false" customHeight="false" outlineLevel="0" collapsed="false">
      <c r="A17" s="0" t="s">
        <v>260</v>
      </c>
      <c r="B17" s="0" t="s">
        <v>316</v>
      </c>
      <c r="C17" s="0" t="s">
        <v>303</v>
      </c>
    </row>
    <row r="18" customFormat="false" ht="14.65" hidden="false" customHeight="false" outlineLevel="0" collapsed="false">
      <c r="A18" s="0" t="s">
        <v>261</v>
      </c>
      <c r="B18" s="0" t="s">
        <v>317</v>
      </c>
      <c r="C18" s="0" t="s">
        <v>303</v>
      </c>
    </row>
    <row r="19" customFormat="false" ht="14.65" hidden="false" customHeight="false" outlineLevel="0" collapsed="false">
      <c r="A19" s="0" t="s">
        <v>318</v>
      </c>
      <c r="B19" s="0" t="s">
        <v>319</v>
      </c>
      <c r="C19" s="0" t="s">
        <v>320</v>
      </c>
    </row>
    <row r="20" customFormat="false" ht="14.65" hidden="false" customHeight="false" outlineLevel="0" collapsed="false">
      <c r="A20" s="0" t="s">
        <v>321</v>
      </c>
      <c r="B20" s="0" t="s">
        <v>322</v>
      </c>
      <c r="C20" s="0" t="s">
        <v>323</v>
      </c>
    </row>
    <row r="21" customFormat="false" ht="14.65" hidden="false" customHeight="false" outlineLevel="0" collapsed="false">
      <c r="A21" s="0" t="s">
        <v>324</v>
      </c>
      <c r="B21" s="0" t="s">
        <v>325</v>
      </c>
      <c r="C21" s="0" t="s">
        <v>323</v>
      </c>
    </row>
    <row r="22" customFormat="false" ht="14.65" hidden="false" customHeight="false" outlineLevel="0" collapsed="false">
      <c r="A22" s="0" t="s">
        <v>326</v>
      </c>
      <c r="B22" s="0" t="s">
        <v>327</v>
      </c>
      <c r="C22" s="0" t="s">
        <v>323</v>
      </c>
    </row>
    <row r="23" customFormat="false" ht="14.65" hidden="false" customHeight="false" outlineLevel="0" collapsed="false">
      <c r="A23" s="0" t="s">
        <v>328</v>
      </c>
      <c r="B23" s="0" t="s">
        <v>329</v>
      </c>
      <c r="C23" s="0" t="s">
        <v>323</v>
      </c>
    </row>
    <row r="24" customFormat="false" ht="14.65" hidden="false" customHeight="false" outlineLevel="0" collapsed="false">
      <c r="A24" s="0" t="s">
        <v>330</v>
      </c>
      <c r="B24" s="0" t="s">
        <v>331</v>
      </c>
      <c r="C24" s="0" t="s">
        <v>323</v>
      </c>
    </row>
    <row r="25" customFormat="false" ht="14.65" hidden="false" customHeight="false" outlineLevel="0" collapsed="false">
      <c r="A25" s="0" t="s">
        <v>332</v>
      </c>
      <c r="B25" s="0" t="s">
        <v>333</v>
      </c>
      <c r="C25" s="0" t="s">
        <v>303</v>
      </c>
    </row>
    <row r="26" customFormat="false" ht="14.65" hidden="false" customHeight="false" outlineLevel="0" collapsed="false">
      <c r="A26" s="0" t="s">
        <v>334</v>
      </c>
      <c r="B26" s="0" t="s">
        <v>335</v>
      </c>
      <c r="C26" s="0" t="s">
        <v>323</v>
      </c>
    </row>
    <row r="27" customFormat="false" ht="14.65" hidden="false" customHeight="false" outlineLevel="0" collapsed="false">
      <c r="A27" s="0" t="s">
        <v>336</v>
      </c>
      <c r="B27" s="0" t="s">
        <v>337</v>
      </c>
      <c r="C27" s="0" t="s">
        <v>323</v>
      </c>
    </row>
    <row r="28" customFormat="false" ht="14.65" hidden="false" customHeight="false" outlineLevel="0" collapsed="false">
      <c r="A28" s="0" t="s">
        <v>338</v>
      </c>
      <c r="B28" s="0" t="s">
        <v>339</v>
      </c>
      <c r="C28" s="0" t="s">
        <v>323</v>
      </c>
    </row>
    <row r="29" customFormat="false" ht="14.65" hidden="false" customHeight="false" outlineLevel="0" collapsed="false">
      <c r="A29" s="0" t="s">
        <v>340</v>
      </c>
      <c r="B29" s="0" t="s">
        <v>341</v>
      </c>
      <c r="C29" s="0" t="s">
        <v>323</v>
      </c>
    </row>
    <row r="30" customFormat="false" ht="14.65" hidden="false" customHeight="false" outlineLevel="0" collapsed="false">
      <c r="A30" s="0" t="s">
        <v>342</v>
      </c>
      <c r="B30" s="0" t="s">
        <v>343</v>
      </c>
      <c r="C30" s="0" t="s">
        <v>320</v>
      </c>
    </row>
    <row r="31" customFormat="false" ht="14.65" hidden="false" customHeight="false" outlineLevel="0" collapsed="false">
      <c r="A31" s="0" t="s">
        <v>344</v>
      </c>
      <c r="B31" s="0" t="s">
        <v>345</v>
      </c>
      <c r="C31" s="0" t="s">
        <v>320</v>
      </c>
    </row>
    <row r="32" customFormat="false" ht="14.65" hidden="false" customHeight="false" outlineLevel="0" collapsed="false">
      <c r="A32" s="0" t="s">
        <v>346</v>
      </c>
      <c r="B32" s="0" t="s">
        <v>347</v>
      </c>
      <c r="C32" s="0" t="s">
        <v>320</v>
      </c>
    </row>
    <row r="33" customFormat="false" ht="14.65" hidden="false" customHeight="false" outlineLevel="0" collapsed="false">
      <c r="A33" s="0" t="s">
        <v>348</v>
      </c>
      <c r="B33" s="0" t="s">
        <v>349</v>
      </c>
      <c r="C33" s="0" t="s">
        <v>303</v>
      </c>
    </row>
    <row r="34" customFormat="false" ht="14.65" hidden="false" customHeight="false" outlineLevel="0" collapsed="false">
      <c r="A34" s="0" t="s">
        <v>350</v>
      </c>
      <c r="B34" s="0" t="s">
        <v>351</v>
      </c>
      <c r="C34" s="0" t="s">
        <v>303</v>
      </c>
    </row>
    <row r="35" customFormat="false" ht="14.65" hidden="false" customHeight="false" outlineLevel="0" collapsed="false">
      <c r="A35" s="0" t="s">
        <v>352</v>
      </c>
      <c r="B35" s="0" t="s">
        <v>353</v>
      </c>
      <c r="C35" s="0" t="s">
        <v>303</v>
      </c>
    </row>
    <row r="36" customFormat="false" ht="14.65" hidden="false" customHeight="false" outlineLevel="0" collapsed="false">
      <c r="A36" s="0" t="s">
        <v>354</v>
      </c>
      <c r="B36" s="0" t="s">
        <v>355</v>
      </c>
      <c r="C36" s="0" t="s">
        <v>323</v>
      </c>
    </row>
    <row r="37" customFormat="false" ht="14.65" hidden="false" customHeight="false" outlineLevel="0" collapsed="false">
      <c r="A37" s="0" t="s">
        <v>356</v>
      </c>
      <c r="B37" s="0" t="s">
        <v>357</v>
      </c>
      <c r="C37" s="0" t="s">
        <v>320</v>
      </c>
    </row>
    <row r="38" customFormat="false" ht="14.65" hidden="false" customHeight="false" outlineLevel="0" collapsed="false">
      <c r="A38" s="0" t="s">
        <v>358</v>
      </c>
      <c r="B38" s="0" t="s">
        <v>359</v>
      </c>
      <c r="C38" s="0" t="s">
        <v>320</v>
      </c>
    </row>
    <row r="39" customFormat="false" ht="14.65" hidden="false" customHeight="false" outlineLevel="0" collapsed="false">
      <c r="A39" s="0" t="s">
        <v>360</v>
      </c>
      <c r="B39" s="0" t="s">
        <v>361</v>
      </c>
      <c r="C39" s="0" t="s">
        <v>320</v>
      </c>
    </row>
    <row r="40" customFormat="false" ht="14.65" hidden="false" customHeight="false" outlineLevel="0" collapsed="false">
      <c r="A40" s="0" t="s">
        <v>362</v>
      </c>
      <c r="B40" s="0" t="s">
        <v>363</v>
      </c>
      <c r="C40" s="0" t="s">
        <v>320</v>
      </c>
    </row>
    <row r="41" customFormat="false" ht="14.65" hidden="false" customHeight="false" outlineLevel="0" collapsed="false">
      <c r="A41" s="0" t="s">
        <v>73</v>
      </c>
      <c r="B41" s="0" t="s">
        <v>364</v>
      </c>
      <c r="C41" s="0" t="s">
        <v>323</v>
      </c>
    </row>
    <row r="42" customFormat="false" ht="14.65" hidden="false" customHeight="false" outlineLevel="0" collapsed="false">
      <c r="A42" s="0" t="s">
        <v>365</v>
      </c>
      <c r="B42" s="0" t="s">
        <v>366</v>
      </c>
      <c r="C42" s="0" t="s">
        <v>320</v>
      </c>
    </row>
    <row r="43" customFormat="false" ht="14.65" hidden="false" customHeight="false" outlineLevel="0" collapsed="false">
      <c r="A43" s="0" t="s">
        <v>280</v>
      </c>
      <c r="B43" s="0" t="s">
        <v>367</v>
      </c>
      <c r="C43" s="0" t="s">
        <v>320</v>
      </c>
    </row>
    <row r="44" customFormat="false" ht="14.65" hidden="false" customHeight="false" outlineLevel="0" collapsed="false">
      <c r="A44" s="0" t="s">
        <v>368</v>
      </c>
      <c r="B44" s="0" t="s">
        <v>369</v>
      </c>
      <c r="C44" s="0" t="s">
        <v>323</v>
      </c>
    </row>
    <row r="45" customFormat="false" ht="14.65" hidden="false" customHeight="false" outlineLevel="0" collapsed="false">
      <c r="A45" s="0" t="s">
        <v>370</v>
      </c>
      <c r="B45" s="0" t="s">
        <v>371</v>
      </c>
      <c r="C45" s="0" t="s">
        <v>303</v>
      </c>
    </row>
    <row r="46" customFormat="false" ht="14.65" hidden="false" customHeight="false" outlineLevel="0" collapsed="false">
      <c r="A46" s="0" t="s">
        <v>372</v>
      </c>
      <c r="B46" s="0" t="s">
        <v>373</v>
      </c>
      <c r="C46" s="0" t="s">
        <v>303</v>
      </c>
    </row>
    <row r="47" customFormat="false" ht="14.65" hidden="false" customHeight="false" outlineLevel="0" collapsed="false">
      <c r="A47" s="0" t="s">
        <v>374</v>
      </c>
      <c r="B47" s="0" t="s">
        <v>375</v>
      </c>
      <c r="C47" s="0" t="s">
        <v>303</v>
      </c>
    </row>
    <row r="48" customFormat="false" ht="14.65" hidden="false" customHeight="false" outlineLevel="0" collapsed="false">
      <c r="A48" s="0" t="s">
        <v>376</v>
      </c>
      <c r="B48" s="0" t="s">
        <v>377</v>
      </c>
      <c r="C48" s="0" t="s">
        <v>303</v>
      </c>
    </row>
    <row r="49" customFormat="false" ht="14.65" hidden="false" customHeight="false" outlineLevel="0" collapsed="false">
      <c r="A49" s="0" t="s">
        <v>378</v>
      </c>
      <c r="B49" s="0" t="s">
        <v>379</v>
      </c>
      <c r="C49" s="0" t="s">
        <v>303</v>
      </c>
    </row>
    <row r="50" customFormat="false" ht="14.65" hidden="false" customHeight="false" outlineLevel="0" collapsed="false">
      <c r="A50" s="0" t="s">
        <v>380</v>
      </c>
      <c r="B50" s="0" t="s">
        <v>381</v>
      </c>
      <c r="C50" s="0" t="s">
        <v>303</v>
      </c>
    </row>
    <row r="51" customFormat="false" ht="14.65" hidden="false" customHeight="false" outlineLevel="0" collapsed="false">
      <c r="A51" s="0" t="s">
        <v>259</v>
      </c>
      <c r="B51" s="0" t="s">
        <v>382</v>
      </c>
      <c r="C51" s="0" t="s">
        <v>303</v>
      </c>
    </row>
    <row r="52" customFormat="false" ht="14.65" hidden="false" customHeight="false" outlineLevel="0" collapsed="false">
      <c r="A52" s="0" t="s">
        <v>254</v>
      </c>
      <c r="B52" s="0" t="s">
        <v>383</v>
      </c>
      <c r="C52" s="0" t="s">
        <v>303</v>
      </c>
    </row>
    <row r="53" customFormat="false" ht="14.65" hidden="false" customHeight="false" outlineLevel="0" collapsed="false">
      <c r="A53" s="0" t="s">
        <v>384</v>
      </c>
      <c r="B53" s="0" t="s">
        <v>385</v>
      </c>
      <c r="C53" s="0" t="s">
        <v>287</v>
      </c>
    </row>
    <row r="54" customFormat="false" ht="14.65" hidden="false" customHeight="false" outlineLevel="0" collapsed="false">
      <c r="A54" s="0" t="s">
        <v>386</v>
      </c>
      <c r="B54" s="0" t="s">
        <v>387</v>
      </c>
      <c r="C54" s="0" t="s">
        <v>388</v>
      </c>
    </row>
    <row r="55" customFormat="false" ht="14.65" hidden="false" customHeight="false" outlineLevel="0" collapsed="false">
      <c r="A55" s="0" t="s">
        <v>389</v>
      </c>
      <c r="B55" s="0" t="s">
        <v>390</v>
      </c>
      <c r="C55" s="0" t="s">
        <v>388</v>
      </c>
    </row>
    <row r="56" customFormat="false" ht="14.65" hidden="false" customHeight="false" outlineLevel="0" collapsed="false">
      <c r="A56" s="0" t="s">
        <v>391</v>
      </c>
      <c r="B56" s="0" t="s">
        <v>392</v>
      </c>
      <c r="C56" s="0" t="s">
        <v>388</v>
      </c>
    </row>
    <row r="57" customFormat="false" ht="14.65" hidden="false" customHeight="false" outlineLevel="0" collapsed="false">
      <c r="A57" s="0" t="s">
        <v>393</v>
      </c>
      <c r="B57" s="0" t="s">
        <v>394</v>
      </c>
      <c r="C57" s="0" t="s">
        <v>388</v>
      </c>
    </row>
    <row r="58" customFormat="false" ht="14.65" hidden="false" customHeight="false" outlineLevel="0" collapsed="false">
      <c r="A58" s="0" t="s">
        <v>236</v>
      </c>
      <c r="B58" s="0" t="s">
        <v>395</v>
      </c>
      <c r="C58" s="0" t="s">
        <v>396</v>
      </c>
    </row>
    <row r="59" customFormat="false" ht="14.65" hidden="false" customHeight="false" outlineLevel="0" collapsed="false">
      <c r="A59" s="0" t="s">
        <v>397</v>
      </c>
      <c r="B59" s="0" t="s">
        <v>398</v>
      </c>
      <c r="C59" s="0" t="s">
        <v>396</v>
      </c>
    </row>
    <row r="60" customFormat="false" ht="14.65" hidden="false" customHeight="false" outlineLevel="0" collapsed="false">
      <c r="A60" s="0" t="s">
        <v>36</v>
      </c>
      <c r="B60" s="0" t="s">
        <v>399</v>
      </c>
      <c r="C60" s="0" t="s">
        <v>396</v>
      </c>
    </row>
    <row r="61" customFormat="false" ht="14.65" hidden="false" customHeight="false" outlineLevel="0" collapsed="false">
      <c r="A61" s="0" t="s">
        <v>400</v>
      </c>
      <c r="B61" s="0" t="s">
        <v>401</v>
      </c>
      <c r="C61" s="0" t="s">
        <v>396</v>
      </c>
    </row>
    <row r="62" customFormat="false" ht="14.65" hidden="false" customHeight="false" outlineLevel="0" collapsed="false">
      <c r="A62" s="0" t="s">
        <v>235</v>
      </c>
      <c r="B62" s="0" t="s">
        <v>402</v>
      </c>
      <c r="C62" s="0" t="s">
        <v>396</v>
      </c>
    </row>
    <row r="63" customFormat="false" ht="14.65" hidden="false" customHeight="false" outlineLevel="0" collapsed="false">
      <c r="A63" s="0" t="s">
        <v>403</v>
      </c>
      <c r="B63" s="0" t="s">
        <v>404</v>
      </c>
      <c r="C63" s="0" t="s">
        <v>388</v>
      </c>
    </row>
    <row r="64" customFormat="false" ht="14.65" hidden="false" customHeight="false" outlineLevel="0" collapsed="false">
      <c r="A64" s="0" t="s">
        <v>405</v>
      </c>
      <c r="B64" s="0" t="s">
        <v>406</v>
      </c>
      <c r="C64" s="0" t="s">
        <v>388</v>
      </c>
    </row>
    <row r="65" customFormat="false" ht="14.65" hidden="false" customHeight="false" outlineLevel="0" collapsed="false">
      <c r="A65" s="0" t="s">
        <v>407</v>
      </c>
      <c r="B65" s="0" t="s">
        <v>408</v>
      </c>
      <c r="C65" s="0" t="s">
        <v>388</v>
      </c>
    </row>
    <row r="66" customFormat="false" ht="14.65" hidden="false" customHeight="false" outlineLevel="0" collapsed="false">
      <c r="A66" s="0" t="s">
        <v>409</v>
      </c>
      <c r="B66" s="0" t="s">
        <v>410</v>
      </c>
      <c r="C66" s="0" t="s">
        <v>320</v>
      </c>
    </row>
    <row r="67" customFormat="false" ht="14.65" hidden="false" customHeight="false" outlineLevel="0" collapsed="false">
      <c r="A67" s="0" t="s">
        <v>411</v>
      </c>
      <c r="B67" s="0" t="s">
        <v>412</v>
      </c>
      <c r="C67" s="0" t="s">
        <v>323</v>
      </c>
    </row>
    <row r="68" customFormat="false" ht="14.65" hidden="false" customHeight="false" outlineLevel="0" collapsed="false">
      <c r="A68" s="0" t="s">
        <v>413</v>
      </c>
      <c r="B68" s="0" t="s">
        <v>414</v>
      </c>
      <c r="C68" s="0" t="s">
        <v>303</v>
      </c>
    </row>
    <row r="69" customFormat="false" ht="14.65" hidden="false" customHeight="false" outlineLevel="0" collapsed="false">
      <c r="A69" s="0" t="s">
        <v>415</v>
      </c>
      <c r="B69" s="0" t="s">
        <v>416</v>
      </c>
      <c r="C69" s="0" t="s">
        <v>303</v>
      </c>
    </row>
    <row r="70" customFormat="false" ht="14.65" hidden="false" customHeight="false" outlineLevel="0" collapsed="false">
      <c r="A70" s="0" t="s">
        <v>417</v>
      </c>
      <c r="B70" s="0" t="s">
        <v>418</v>
      </c>
      <c r="C70" s="0" t="s">
        <v>323</v>
      </c>
    </row>
    <row r="71" customFormat="false" ht="14.65" hidden="false" customHeight="false" outlineLevel="0" collapsed="false">
      <c r="A71" s="0" t="s">
        <v>417</v>
      </c>
      <c r="B71" s="0" t="s">
        <v>419</v>
      </c>
      <c r="C71" s="0" t="s">
        <v>323</v>
      </c>
    </row>
    <row r="72" customFormat="false" ht="14.65" hidden="false" customHeight="false" outlineLevel="0" collapsed="false">
      <c r="A72" s="0" t="s">
        <v>340</v>
      </c>
      <c r="B72" s="0" t="s">
        <v>420</v>
      </c>
      <c r="C72" s="0" t="s">
        <v>323</v>
      </c>
    </row>
    <row r="73" customFormat="false" ht="14.65" hidden="false" customHeight="false" outlineLevel="0" collapsed="false">
      <c r="A73" s="0" t="s">
        <v>96</v>
      </c>
      <c r="B73" s="0" t="s">
        <v>421</v>
      </c>
      <c r="C73" s="0" t="s">
        <v>323</v>
      </c>
    </row>
    <row r="74" customFormat="false" ht="14.65" hidden="false" customHeight="false" outlineLevel="0" collapsed="false">
      <c r="A74" s="0" t="s">
        <v>422</v>
      </c>
      <c r="B74" s="0" t="s">
        <v>423</v>
      </c>
      <c r="C74" s="0" t="s">
        <v>320</v>
      </c>
    </row>
    <row r="75" customFormat="false" ht="14.65" hidden="false" customHeight="false" outlineLevel="0" collapsed="false">
      <c r="A75" s="0" t="s">
        <v>424</v>
      </c>
      <c r="B75" s="0" t="s">
        <v>425</v>
      </c>
      <c r="C75" s="0" t="s">
        <v>320</v>
      </c>
    </row>
    <row r="76" customFormat="false" ht="14.65" hidden="false" customHeight="false" outlineLevel="0" collapsed="false">
      <c r="A76" s="0" t="s">
        <v>426</v>
      </c>
      <c r="B76" s="0" t="s">
        <v>427</v>
      </c>
      <c r="C76" s="0" t="s">
        <v>320</v>
      </c>
    </row>
    <row r="77" customFormat="false" ht="14.65" hidden="false" customHeight="false" outlineLevel="0" collapsed="false">
      <c r="A77" s="0" t="s">
        <v>428</v>
      </c>
      <c r="B77" s="0" t="s">
        <v>429</v>
      </c>
      <c r="C77" s="0" t="s">
        <v>320</v>
      </c>
    </row>
    <row r="78" customFormat="false" ht="14.65" hidden="false" customHeight="false" outlineLevel="0" collapsed="false">
      <c r="A78" s="0" t="s">
        <v>85</v>
      </c>
      <c r="B78" s="0" t="s">
        <v>430</v>
      </c>
      <c r="C78" s="0" t="s">
        <v>323</v>
      </c>
    </row>
    <row r="79" customFormat="false" ht="14.65" hidden="false" customHeight="false" outlineLevel="0" collapsed="false">
      <c r="A79" s="0" t="s">
        <v>281</v>
      </c>
      <c r="B79" s="0" t="s">
        <v>431</v>
      </c>
      <c r="C79" s="0" t="s">
        <v>320</v>
      </c>
    </row>
    <row r="80" customFormat="false" ht="14.65" hidden="false" customHeight="false" outlineLevel="0" collapsed="false">
      <c r="A80" s="0" t="s">
        <v>432</v>
      </c>
      <c r="B80" s="0" t="s">
        <v>433</v>
      </c>
      <c r="C80" s="0" t="s">
        <v>320</v>
      </c>
    </row>
    <row r="81" customFormat="false" ht="14.65" hidden="false" customHeight="false" outlineLevel="0" collapsed="false">
      <c r="A81" s="0" t="s">
        <v>434</v>
      </c>
      <c r="B81" s="0" t="s">
        <v>435</v>
      </c>
      <c r="C81" s="0" t="s">
        <v>303</v>
      </c>
    </row>
    <row r="82" customFormat="false" ht="14.65" hidden="false" customHeight="false" outlineLevel="0" collapsed="false">
      <c r="A82" s="0" t="s">
        <v>436</v>
      </c>
      <c r="B82" s="0" t="s">
        <v>437</v>
      </c>
      <c r="C82" s="0" t="s">
        <v>323</v>
      </c>
    </row>
    <row r="83" customFormat="false" ht="14.65" hidden="false" customHeight="false" outlineLevel="0" collapsed="false">
      <c r="A83" s="0" t="s">
        <v>438</v>
      </c>
      <c r="B83" s="0" t="s">
        <v>439</v>
      </c>
      <c r="C83" s="0" t="s">
        <v>320</v>
      </c>
    </row>
    <row r="84" customFormat="false" ht="14.65" hidden="false" customHeight="false" outlineLevel="0" collapsed="false">
      <c r="A84" s="0" t="s">
        <v>340</v>
      </c>
      <c r="B84" s="0" t="s">
        <v>440</v>
      </c>
      <c r="C84" s="0" t="s">
        <v>323</v>
      </c>
    </row>
    <row r="85" customFormat="false" ht="14.65" hidden="false" customHeight="false" outlineLevel="0" collapsed="false">
      <c r="A85" s="0" t="s">
        <v>441</v>
      </c>
      <c r="B85" s="0" t="s">
        <v>442</v>
      </c>
      <c r="C85" s="0" t="s">
        <v>303</v>
      </c>
    </row>
    <row r="86" customFormat="false" ht="14.65" hidden="false" customHeight="false" outlineLevel="0" collapsed="false">
      <c r="A86" s="0" t="s">
        <v>443</v>
      </c>
      <c r="B86" s="0" t="s">
        <v>444</v>
      </c>
      <c r="C86" s="0" t="s">
        <v>320</v>
      </c>
    </row>
    <row r="87" customFormat="false" ht="14.65" hidden="false" customHeight="false" outlineLevel="0" collapsed="false">
      <c r="A87" s="0" t="s">
        <v>445</v>
      </c>
      <c r="B87" s="0" t="s">
        <v>446</v>
      </c>
      <c r="C87" s="0" t="s">
        <v>323</v>
      </c>
    </row>
    <row r="88" customFormat="false" ht="14.65" hidden="false" customHeight="false" outlineLevel="0" collapsed="false">
      <c r="A88" s="0" t="s">
        <v>447</v>
      </c>
      <c r="B88" s="0" t="s">
        <v>448</v>
      </c>
      <c r="C88" s="0" t="s">
        <v>388</v>
      </c>
    </row>
    <row r="89" customFormat="false" ht="14.65" hidden="false" customHeight="false" outlineLevel="0" collapsed="false">
      <c r="A89" s="0" t="s">
        <v>449</v>
      </c>
      <c r="B89" s="0" t="s">
        <v>449</v>
      </c>
      <c r="C89" s="0" t="s">
        <v>309</v>
      </c>
    </row>
    <row r="90" customFormat="false" ht="14.65" hidden="false" customHeight="false" outlineLevel="0" collapsed="false">
      <c r="A90" s="0" t="s">
        <v>450</v>
      </c>
      <c r="B90" s="0" t="s">
        <v>451</v>
      </c>
      <c r="C90" s="0" t="s">
        <v>320</v>
      </c>
    </row>
    <row r="91" customFormat="false" ht="14.65" hidden="false" customHeight="false" outlineLevel="0" collapsed="false">
      <c r="A91" s="0" t="s">
        <v>452</v>
      </c>
      <c r="B91" s="0" t="s">
        <v>453</v>
      </c>
      <c r="C91" s="0" t="s">
        <v>303</v>
      </c>
    </row>
    <row r="92" customFormat="false" ht="14.65" hidden="false" customHeight="false" outlineLevel="0" collapsed="false">
      <c r="A92" s="0" t="s">
        <v>318</v>
      </c>
      <c r="B92" s="0" t="s">
        <v>454</v>
      </c>
      <c r="C92" s="0" t="s">
        <v>320</v>
      </c>
    </row>
    <row r="93" customFormat="false" ht="14.65" hidden="false" customHeight="false" outlineLevel="0" collapsed="false">
      <c r="A93" s="0" t="s">
        <v>455</v>
      </c>
      <c r="B93" s="0" t="s">
        <v>456</v>
      </c>
      <c r="C93" s="0" t="s">
        <v>323</v>
      </c>
    </row>
    <row r="94" customFormat="false" ht="14.65" hidden="false" customHeight="false" outlineLevel="0" collapsed="false">
      <c r="A94" s="0" t="s">
        <v>48</v>
      </c>
      <c r="B94" s="0" t="s">
        <v>457</v>
      </c>
      <c r="C94" s="0" t="s">
        <v>287</v>
      </c>
    </row>
    <row r="95" customFormat="false" ht="14.65" hidden="false" customHeight="false" outlineLevel="0" collapsed="false">
      <c r="A95" s="0" t="s">
        <v>328</v>
      </c>
      <c r="B95" s="0" t="s">
        <v>458</v>
      </c>
      <c r="C95" s="0" t="s">
        <v>323</v>
      </c>
    </row>
    <row r="96" customFormat="false" ht="14.65" hidden="false" customHeight="false" outlineLevel="0" collapsed="false">
      <c r="A96" s="0" t="s">
        <v>330</v>
      </c>
      <c r="B96" s="0" t="s">
        <v>459</v>
      </c>
      <c r="C96" s="0" t="s">
        <v>323</v>
      </c>
    </row>
    <row r="97" customFormat="false" ht="14.65" hidden="false" customHeight="false" outlineLevel="0" collapsed="false">
      <c r="A97" s="0" t="s">
        <v>455</v>
      </c>
      <c r="B97" s="0" t="s">
        <v>460</v>
      </c>
      <c r="C97" s="0" t="s">
        <v>323</v>
      </c>
    </row>
    <row r="98" customFormat="false" ht="14.65" hidden="false" customHeight="false" outlineLevel="0" collapsed="false">
      <c r="A98" s="0" t="s">
        <v>461</v>
      </c>
      <c r="B98" s="0" t="s">
        <v>462</v>
      </c>
      <c r="C98" s="0" t="s">
        <v>323</v>
      </c>
    </row>
    <row r="99" customFormat="false" ht="14.65" hidden="false" customHeight="false" outlineLevel="0" collapsed="false">
      <c r="A99" s="0" t="s">
        <v>277</v>
      </c>
      <c r="B99" s="0" t="s">
        <v>463</v>
      </c>
      <c r="C99" s="0" t="s">
        <v>320</v>
      </c>
    </row>
    <row r="100" customFormat="false" ht="14.65" hidden="false" customHeight="false" outlineLevel="0" collapsed="false">
      <c r="A100" s="0" t="s">
        <v>80</v>
      </c>
      <c r="B100" s="0" t="s">
        <v>464</v>
      </c>
      <c r="C100" s="0" t="s">
        <v>323</v>
      </c>
    </row>
    <row r="101" customFormat="false" ht="14.65" hidden="false" customHeight="false" outlineLevel="0" collapsed="false">
      <c r="A101" s="0" t="s">
        <v>48</v>
      </c>
      <c r="B101" s="0" t="s">
        <v>465</v>
      </c>
      <c r="C101" s="0" t="s">
        <v>287</v>
      </c>
    </row>
    <row r="102" customFormat="false" ht="14.65" hidden="false" customHeight="false" outlineLevel="0" collapsed="false">
      <c r="A102" s="0" t="s">
        <v>211</v>
      </c>
      <c r="B102" s="0" t="s">
        <v>466</v>
      </c>
      <c r="C102" s="0" t="s">
        <v>287</v>
      </c>
    </row>
    <row r="103" customFormat="false" ht="14.65" hidden="false" customHeight="false" outlineLevel="0" collapsed="false">
      <c r="A103" s="0" t="s">
        <v>211</v>
      </c>
      <c r="B103" s="0" t="s">
        <v>467</v>
      </c>
      <c r="C103" s="0" t="s">
        <v>287</v>
      </c>
    </row>
    <row r="104" customFormat="false" ht="14.65" hidden="false" customHeight="false" outlineLevel="0" collapsed="false">
      <c r="A104" s="0" t="s">
        <v>278</v>
      </c>
      <c r="B104" s="0" t="s">
        <v>468</v>
      </c>
      <c r="C104" s="0" t="s">
        <v>320</v>
      </c>
    </row>
    <row r="105" customFormat="false" ht="14.65" hidden="false" customHeight="false" outlineLevel="0" collapsed="false">
      <c r="A105" s="0" t="s">
        <v>258</v>
      </c>
      <c r="B105" s="0" t="s">
        <v>469</v>
      </c>
      <c r="C105" s="0" t="s">
        <v>303</v>
      </c>
    </row>
    <row r="106" customFormat="false" ht="14.65" hidden="false" customHeight="false" outlineLevel="0" collapsed="false">
      <c r="A106" s="0" t="s">
        <v>470</v>
      </c>
      <c r="B106" s="0" t="s">
        <v>471</v>
      </c>
      <c r="C106" s="0" t="s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1" width="36.91"/>
    <col collapsed="false" customWidth="true" hidden="false" outlineLevel="0" max="2" min="2" style="81" width="7.15"/>
    <col collapsed="false" customWidth="true" hidden="false" outlineLevel="0" max="3" min="3" style="81" width="20.35"/>
    <col collapsed="false" customWidth="true" hidden="false" outlineLevel="0" max="4" min="4" style="81" width="7.83"/>
    <col collapsed="false" customWidth="true" hidden="false" outlineLevel="0" max="5" min="5" style="0" width="23.83"/>
    <col collapsed="false" customWidth="true" hidden="false" outlineLevel="0" max="6" min="6" style="81" width="22.58"/>
    <col collapsed="false" customWidth="true" hidden="false" outlineLevel="0" max="7" min="7" style="0" width="14.09"/>
  </cols>
  <sheetData>
    <row r="1" customFormat="false" ht="12.8" hidden="false" customHeight="false" outlineLevel="0" collapsed="false">
      <c r="A1" s="82" t="s">
        <v>4</v>
      </c>
      <c r="B1" s="83" t="s">
        <v>283</v>
      </c>
      <c r="C1" s="83" t="s">
        <v>284</v>
      </c>
      <c r="D1" s="0" t="s">
        <v>5</v>
      </c>
      <c r="E1" s="0" t="s">
        <v>472</v>
      </c>
      <c r="F1" s="83" t="s">
        <v>473</v>
      </c>
    </row>
    <row r="2" customFormat="false" ht="12.8" hidden="false" customHeight="false" outlineLevel="0" collapsed="false">
      <c r="A2" s="83" t="s">
        <v>285</v>
      </c>
      <c r="B2" s="83" t="s">
        <v>286</v>
      </c>
      <c r="C2" s="83" t="s">
        <v>287</v>
      </c>
      <c r="D2" s="81" t="s">
        <v>45</v>
      </c>
      <c r="E2" s="84" t="s">
        <v>474</v>
      </c>
      <c r="F2" s="83" t="s">
        <v>475</v>
      </c>
    </row>
    <row r="3" customFormat="false" ht="12.8" hidden="false" customHeight="false" outlineLevel="0" collapsed="false">
      <c r="A3" s="83" t="s">
        <v>285</v>
      </c>
      <c r="B3" s="83" t="s">
        <v>286</v>
      </c>
      <c r="C3" s="83" t="s">
        <v>287</v>
      </c>
      <c r="D3" s="81" t="s">
        <v>45</v>
      </c>
      <c r="E3" s="84" t="s">
        <v>476</v>
      </c>
      <c r="F3" s="83" t="s">
        <v>475</v>
      </c>
    </row>
    <row r="4" customFormat="false" ht="12.8" hidden="false" customHeight="false" outlineLevel="0" collapsed="false">
      <c r="A4" s="83" t="s">
        <v>477</v>
      </c>
      <c r="B4" s="83" t="s">
        <v>289</v>
      </c>
      <c r="C4" s="83" t="s">
        <v>287</v>
      </c>
      <c r="D4" s="81" t="s">
        <v>45</v>
      </c>
      <c r="E4" s="0" t="s">
        <v>478</v>
      </c>
      <c r="F4" s="83" t="s">
        <v>475</v>
      </c>
    </row>
    <row r="5" customFormat="false" ht="12.8" hidden="false" customHeight="false" outlineLevel="0" collapsed="false">
      <c r="A5" s="83" t="s">
        <v>477</v>
      </c>
      <c r="B5" s="83" t="s">
        <v>289</v>
      </c>
      <c r="C5" s="83" t="s">
        <v>287</v>
      </c>
      <c r="D5" s="81" t="s">
        <v>45</v>
      </c>
      <c r="E5" s="0" t="s">
        <v>479</v>
      </c>
      <c r="F5" s="83" t="s">
        <v>475</v>
      </c>
    </row>
    <row r="6" customFormat="false" ht="12.8" hidden="false" customHeight="false" outlineLevel="0" collapsed="false">
      <c r="A6" s="83" t="s">
        <v>290</v>
      </c>
      <c r="B6" s="83" t="s">
        <v>291</v>
      </c>
      <c r="C6" s="83" t="s">
        <v>287</v>
      </c>
      <c r="F6" s="83" t="s">
        <v>480</v>
      </c>
    </row>
    <row r="7" customFormat="false" ht="12.8" hidden="false" customHeight="false" outlineLevel="0" collapsed="false">
      <c r="A7" s="83" t="s">
        <v>292</v>
      </c>
      <c r="B7" s="83" t="s">
        <v>293</v>
      </c>
      <c r="C7" s="83" t="s">
        <v>287</v>
      </c>
      <c r="D7" s="81" t="s">
        <v>45</v>
      </c>
      <c r="E7" s="0" t="s">
        <v>481</v>
      </c>
      <c r="F7" s="83" t="s">
        <v>475</v>
      </c>
    </row>
    <row r="8" customFormat="false" ht="12.8" hidden="false" customHeight="false" outlineLevel="0" collapsed="false">
      <c r="A8" s="83" t="s">
        <v>292</v>
      </c>
      <c r="B8" s="83" t="s">
        <v>293</v>
      </c>
      <c r="C8" s="83" t="s">
        <v>287</v>
      </c>
      <c r="D8" s="81" t="s">
        <v>45</v>
      </c>
      <c r="E8" s="0" t="s">
        <v>482</v>
      </c>
      <c r="F8" s="83" t="s">
        <v>475</v>
      </c>
    </row>
    <row r="9" customFormat="false" ht="12.8" hidden="false" customHeight="false" outlineLevel="0" collapsed="false">
      <c r="A9" s="83" t="s">
        <v>483</v>
      </c>
      <c r="B9" s="83" t="s">
        <v>295</v>
      </c>
      <c r="C9" s="83" t="s">
        <v>287</v>
      </c>
      <c r="D9" s="83"/>
      <c r="F9" s="83" t="s">
        <v>480</v>
      </c>
    </row>
    <row r="10" customFormat="false" ht="12.8" hidden="false" customHeight="false" outlineLevel="0" collapsed="false">
      <c r="A10" s="83" t="s">
        <v>296</v>
      </c>
      <c r="B10" s="83" t="s">
        <v>297</v>
      </c>
      <c r="C10" s="83" t="s">
        <v>287</v>
      </c>
      <c r="F10" s="83" t="s">
        <v>480</v>
      </c>
    </row>
    <row r="11" customFormat="false" ht="12.8" hidden="false" customHeight="false" outlineLevel="0" collapsed="false">
      <c r="A11" s="83" t="s">
        <v>298</v>
      </c>
      <c r="B11" s="83" t="s">
        <v>299</v>
      </c>
      <c r="C11" s="83" t="s">
        <v>287</v>
      </c>
      <c r="F11" s="83" t="s">
        <v>480</v>
      </c>
    </row>
    <row r="12" customFormat="false" ht="12.8" hidden="false" customHeight="false" outlineLevel="0" collapsed="false">
      <c r="A12" s="83" t="s">
        <v>300</v>
      </c>
      <c r="B12" s="83" t="s">
        <v>301</v>
      </c>
      <c r="C12" s="83" t="s">
        <v>287</v>
      </c>
      <c r="F12" s="83" t="s">
        <v>480</v>
      </c>
    </row>
    <row r="13" customFormat="false" ht="12.8" hidden="false" customHeight="false" outlineLevel="0" collapsed="false">
      <c r="A13" s="83" t="s">
        <v>484</v>
      </c>
      <c r="B13" s="83" t="s">
        <v>302</v>
      </c>
      <c r="C13" s="83" t="s">
        <v>303</v>
      </c>
      <c r="D13" s="81" t="s">
        <v>33</v>
      </c>
      <c r="E13" s="0" t="s">
        <v>485</v>
      </c>
      <c r="F13" s="83" t="s">
        <v>475</v>
      </c>
    </row>
    <row r="14" customFormat="false" ht="12.8" hidden="false" customHeight="false" outlineLevel="0" collapsed="false">
      <c r="A14" s="83" t="s">
        <v>486</v>
      </c>
      <c r="B14" s="83" t="s">
        <v>302</v>
      </c>
      <c r="C14" s="83" t="s">
        <v>303</v>
      </c>
      <c r="D14" s="81" t="s">
        <v>33</v>
      </c>
      <c r="E14" s="0" t="s">
        <v>487</v>
      </c>
      <c r="F14" s="83" t="s">
        <v>475</v>
      </c>
    </row>
    <row r="15" customFormat="false" ht="12.8" hidden="false" customHeight="false" outlineLevel="0" collapsed="false">
      <c r="A15" s="83" t="s">
        <v>488</v>
      </c>
      <c r="B15" s="83" t="s">
        <v>302</v>
      </c>
      <c r="C15" s="83" t="s">
        <v>303</v>
      </c>
      <c r="D15" s="81" t="s">
        <v>35</v>
      </c>
      <c r="E15" s="0" t="s">
        <v>489</v>
      </c>
      <c r="F15" s="83" t="s">
        <v>475</v>
      </c>
    </row>
    <row r="16" customFormat="false" ht="12.8" hidden="false" customHeight="false" outlineLevel="0" collapsed="false">
      <c r="A16" s="83" t="s">
        <v>486</v>
      </c>
      <c r="B16" s="83" t="s">
        <v>302</v>
      </c>
      <c r="C16" s="83" t="s">
        <v>303</v>
      </c>
      <c r="D16" s="81" t="s">
        <v>35</v>
      </c>
      <c r="E16" s="0" t="s">
        <v>490</v>
      </c>
      <c r="F16" s="83" t="s">
        <v>475</v>
      </c>
    </row>
    <row r="17" customFormat="false" ht="12.8" hidden="false" customHeight="false" outlineLevel="0" collapsed="false">
      <c r="A17" s="83" t="s">
        <v>304</v>
      </c>
      <c r="B17" s="83" t="s">
        <v>305</v>
      </c>
      <c r="C17" s="83" t="s">
        <v>303</v>
      </c>
      <c r="D17" s="83"/>
      <c r="F17" s="83" t="s">
        <v>480</v>
      </c>
    </row>
    <row r="18" customFormat="false" ht="12.8" hidden="false" customHeight="false" outlineLevel="0" collapsed="false">
      <c r="A18" s="83" t="s">
        <v>491</v>
      </c>
      <c r="B18" s="83" t="s">
        <v>306</v>
      </c>
      <c r="C18" s="83" t="s">
        <v>303</v>
      </c>
      <c r="D18" s="81" t="s">
        <v>35</v>
      </c>
      <c r="E18" s="0" t="s">
        <v>492</v>
      </c>
      <c r="F18" s="83" t="s">
        <v>475</v>
      </c>
    </row>
    <row r="19" customFormat="false" ht="12.8" hidden="false" customHeight="false" outlineLevel="0" collapsed="false">
      <c r="A19" s="83" t="s">
        <v>493</v>
      </c>
      <c r="B19" s="83" t="s">
        <v>306</v>
      </c>
      <c r="C19" s="83" t="s">
        <v>303</v>
      </c>
      <c r="D19" s="81" t="s">
        <v>35</v>
      </c>
      <c r="E19" s="0" t="s">
        <v>494</v>
      </c>
      <c r="F19" s="83" t="s">
        <v>475</v>
      </c>
    </row>
    <row r="20" customFormat="false" ht="12.8" hidden="false" customHeight="false" outlineLevel="0" collapsed="false">
      <c r="A20" s="83" t="s">
        <v>495</v>
      </c>
      <c r="B20" s="83" t="s">
        <v>308</v>
      </c>
      <c r="C20" s="83" t="s">
        <v>309</v>
      </c>
      <c r="F20" s="83" t="s">
        <v>480</v>
      </c>
      <c r="G20" s="0" t="s">
        <v>496</v>
      </c>
    </row>
    <row r="21" customFormat="false" ht="12.8" hidden="false" customHeight="false" outlineLevel="0" collapsed="false">
      <c r="A21" s="83" t="s">
        <v>497</v>
      </c>
      <c r="B21" s="83" t="s">
        <v>311</v>
      </c>
      <c r="C21" s="83" t="s">
        <v>303</v>
      </c>
      <c r="D21" s="83"/>
      <c r="F21" s="83" t="s">
        <v>480</v>
      </c>
    </row>
    <row r="22" customFormat="false" ht="12.8" hidden="false" customHeight="false" outlineLevel="0" collapsed="false">
      <c r="A22" s="83" t="s">
        <v>498</v>
      </c>
      <c r="B22" s="83" t="s">
        <v>313</v>
      </c>
      <c r="C22" s="83" t="s">
        <v>303</v>
      </c>
      <c r="D22" s="81" t="s">
        <v>33</v>
      </c>
      <c r="E22" s="0" t="s">
        <v>499</v>
      </c>
      <c r="F22" s="83" t="s">
        <v>475</v>
      </c>
    </row>
    <row r="23" customFormat="false" ht="12.8" hidden="false" customHeight="false" outlineLevel="0" collapsed="false">
      <c r="A23" s="83" t="s">
        <v>500</v>
      </c>
      <c r="B23" s="83" t="s">
        <v>313</v>
      </c>
      <c r="C23" s="83" t="s">
        <v>303</v>
      </c>
      <c r="D23" s="81" t="s">
        <v>33</v>
      </c>
      <c r="E23" s="0" t="s">
        <v>501</v>
      </c>
      <c r="F23" s="83" t="s">
        <v>475</v>
      </c>
    </row>
    <row r="24" customFormat="false" ht="12.8" hidden="false" customHeight="false" outlineLevel="0" collapsed="false">
      <c r="A24" s="83" t="s">
        <v>498</v>
      </c>
      <c r="B24" s="83" t="s">
        <v>313</v>
      </c>
      <c r="C24" s="83" t="s">
        <v>303</v>
      </c>
      <c r="D24" s="81" t="s">
        <v>35</v>
      </c>
      <c r="E24" s="0" t="s">
        <v>502</v>
      </c>
      <c r="F24" s="83" t="s">
        <v>475</v>
      </c>
    </row>
    <row r="25" customFormat="false" ht="12.8" hidden="false" customHeight="false" outlineLevel="0" collapsed="false">
      <c r="A25" s="83" t="s">
        <v>503</v>
      </c>
      <c r="B25" s="83" t="s">
        <v>313</v>
      </c>
      <c r="C25" s="83" t="s">
        <v>303</v>
      </c>
      <c r="D25" s="81" t="s">
        <v>35</v>
      </c>
      <c r="E25" s="0" t="s">
        <v>504</v>
      </c>
      <c r="F25" s="83" t="s">
        <v>475</v>
      </c>
    </row>
    <row r="26" customFormat="false" ht="12.8" hidden="false" customHeight="false" outlineLevel="0" collapsed="false">
      <c r="A26" s="83" t="s">
        <v>505</v>
      </c>
      <c r="B26" s="83" t="s">
        <v>315</v>
      </c>
      <c r="C26" s="83" t="s">
        <v>303</v>
      </c>
      <c r="D26" s="81" t="s">
        <v>35</v>
      </c>
      <c r="E26" s="0" t="s">
        <v>506</v>
      </c>
      <c r="F26" s="83" t="s">
        <v>475</v>
      </c>
    </row>
    <row r="27" customFormat="false" ht="12.8" hidden="false" customHeight="false" outlineLevel="0" collapsed="false">
      <c r="A27" s="83" t="s">
        <v>507</v>
      </c>
      <c r="B27" s="83" t="s">
        <v>315</v>
      </c>
      <c r="C27" s="83" t="s">
        <v>303</v>
      </c>
      <c r="D27" s="81" t="s">
        <v>35</v>
      </c>
      <c r="E27" s="0" t="s">
        <v>508</v>
      </c>
      <c r="F27" s="83" t="s">
        <v>475</v>
      </c>
    </row>
    <row r="28" customFormat="false" ht="12.8" hidden="false" customHeight="false" outlineLevel="0" collapsed="false">
      <c r="A28" s="83" t="s">
        <v>509</v>
      </c>
      <c r="B28" s="83" t="s">
        <v>316</v>
      </c>
      <c r="C28" s="83" t="s">
        <v>303</v>
      </c>
      <c r="D28" s="81" t="s">
        <v>33</v>
      </c>
      <c r="E28" s="0" t="s">
        <v>510</v>
      </c>
      <c r="F28" s="83" t="s">
        <v>475</v>
      </c>
    </row>
    <row r="29" customFormat="false" ht="12.8" hidden="false" customHeight="false" outlineLevel="0" collapsed="false">
      <c r="A29" s="83" t="s">
        <v>511</v>
      </c>
      <c r="B29" s="83" t="s">
        <v>316</v>
      </c>
      <c r="C29" s="83" t="s">
        <v>303</v>
      </c>
      <c r="D29" s="81" t="s">
        <v>33</v>
      </c>
      <c r="E29" s="0" t="s">
        <v>512</v>
      </c>
      <c r="F29" s="83" t="s">
        <v>475</v>
      </c>
    </row>
    <row r="30" customFormat="false" ht="12.8" hidden="false" customHeight="false" outlineLevel="0" collapsed="false">
      <c r="A30" s="83" t="s">
        <v>509</v>
      </c>
      <c r="B30" s="83" t="s">
        <v>316</v>
      </c>
      <c r="C30" s="83" t="s">
        <v>303</v>
      </c>
      <c r="D30" s="81" t="s">
        <v>35</v>
      </c>
      <c r="E30" s="0" t="s">
        <v>513</v>
      </c>
      <c r="F30" s="83" t="s">
        <v>475</v>
      </c>
    </row>
    <row r="31" customFormat="false" ht="12.8" hidden="false" customHeight="false" outlineLevel="0" collapsed="false">
      <c r="A31" s="83" t="s">
        <v>514</v>
      </c>
      <c r="B31" s="83" t="s">
        <v>316</v>
      </c>
      <c r="C31" s="83" t="s">
        <v>303</v>
      </c>
      <c r="D31" s="81" t="s">
        <v>35</v>
      </c>
      <c r="E31" s="0" t="s">
        <v>515</v>
      </c>
      <c r="F31" s="83" t="s">
        <v>475</v>
      </c>
    </row>
    <row r="32" customFormat="false" ht="12.8" hidden="false" customHeight="false" outlineLevel="0" collapsed="false">
      <c r="A32" s="83" t="s">
        <v>516</v>
      </c>
      <c r="B32" s="83" t="s">
        <v>317</v>
      </c>
      <c r="C32" s="83" t="s">
        <v>303</v>
      </c>
      <c r="D32" s="81" t="s">
        <v>33</v>
      </c>
      <c r="E32" s="0" t="s">
        <v>517</v>
      </c>
      <c r="F32" s="83" t="s">
        <v>475</v>
      </c>
    </row>
    <row r="33" customFormat="false" ht="12.8" hidden="false" customHeight="false" outlineLevel="0" collapsed="false">
      <c r="A33" s="83" t="s">
        <v>518</v>
      </c>
      <c r="B33" s="83" t="s">
        <v>317</v>
      </c>
      <c r="C33" s="83" t="s">
        <v>303</v>
      </c>
      <c r="D33" s="81" t="s">
        <v>33</v>
      </c>
      <c r="E33" s="0" t="s">
        <v>519</v>
      </c>
      <c r="F33" s="83" t="s">
        <v>475</v>
      </c>
    </row>
    <row r="34" customFormat="false" ht="12.8" hidden="false" customHeight="false" outlineLevel="0" collapsed="false">
      <c r="A34" s="83" t="s">
        <v>520</v>
      </c>
      <c r="B34" s="83" t="s">
        <v>317</v>
      </c>
      <c r="C34" s="83" t="s">
        <v>303</v>
      </c>
      <c r="D34" s="81" t="s">
        <v>35</v>
      </c>
      <c r="E34" s="0" t="s">
        <v>521</v>
      </c>
      <c r="F34" s="83" t="s">
        <v>475</v>
      </c>
    </row>
    <row r="35" customFormat="false" ht="12.8" hidden="false" customHeight="false" outlineLevel="0" collapsed="false">
      <c r="A35" s="83" t="s">
        <v>516</v>
      </c>
      <c r="B35" s="83" t="s">
        <v>317</v>
      </c>
      <c r="C35" s="83" t="s">
        <v>303</v>
      </c>
      <c r="D35" s="81" t="s">
        <v>35</v>
      </c>
      <c r="E35" s="0" t="s">
        <v>522</v>
      </c>
      <c r="F35" s="83" t="s">
        <v>475</v>
      </c>
    </row>
    <row r="36" customFormat="false" ht="12.8" hidden="false" customHeight="false" outlineLevel="0" collapsed="false">
      <c r="A36" s="83" t="s">
        <v>523</v>
      </c>
      <c r="B36" s="83" t="s">
        <v>319</v>
      </c>
      <c r="C36" s="83" t="s">
        <v>320</v>
      </c>
      <c r="D36" s="81" t="s">
        <v>35</v>
      </c>
      <c r="E36" s="0" t="s">
        <v>524</v>
      </c>
      <c r="F36" s="83" t="s">
        <v>475</v>
      </c>
    </row>
    <row r="37" customFormat="false" ht="12.8" hidden="false" customHeight="false" outlineLevel="0" collapsed="false">
      <c r="A37" s="83" t="s">
        <v>525</v>
      </c>
      <c r="B37" s="83" t="s">
        <v>319</v>
      </c>
      <c r="C37" s="83" t="s">
        <v>320</v>
      </c>
      <c r="D37" s="81" t="s">
        <v>35</v>
      </c>
      <c r="E37" s="0" t="s">
        <v>526</v>
      </c>
      <c r="F37" s="83" t="s">
        <v>475</v>
      </c>
    </row>
    <row r="38" customFormat="false" ht="12.8" hidden="false" customHeight="false" outlineLevel="0" collapsed="false">
      <c r="A38" s="83" t="s">
        <v>527</v>
      </c>
      <c r="B38" s="83" t="s">
        <v>322</v>
      </c>
      <c r="C38" s="83" t="s">
        <v>323</v>
      </c>
      <c r="D38" s="81" t="s">
        <v>33</v>
      </c>
      <c r="E38" s="0" t="s">
        <v>528</v>
      </c>
      <c r="F38" s="83" t="s">
        <v>475</v>
      </c>
    </row>
    <row r="39" customFormat="false" ht="12.8" hidden="false" customHeight="false" outlineLevel="0" collapsed="false">
      <c r="A39" s="83" t="s">
        <v>529</v>
      </c>
      <c r="B39" s="83" t="s">
        <v>322</v>
      </c>
      <c r="C39" s="83" t="s">
        <v>323</v>
      </c>
      <c r="D39" s="81" t="s">
        <v>33</v>
      </c>
      <c r="E39" s="0" t="s">
        <v>530</v>
      </c>
      <c r="F39" s="83" t="s">
        <v>475</v>
      </c>
    </row>
    <row r="40" customFormat="false" ht="12.8" hidden="false" customHeight="false" outlineLevel="0" collapsed="false">
      <c r="A40" s="83" t="s">
        <v>531</v>
      </c>
      <c r="B40" s="83" t="s">
        <v>322</v>
      </c>
      <c r="C40" s="83" t="s">
        <v>323</v>
      </c>
      <c r="D40" s="81" t="s">
        <v>35</v>
      </c>
      <c r="E40" s="0" t="s">
        <v>532</v>
      </c>
      <c r="F40" s="83" t="s">
        <v>475</v>
      </c>
    </row>
    <row r="41" customFormat="false" ht="12.8" hidden="false" customHeight="false" outlineLevel="0" collapsed="false">
      <c r="A41" s="83" t="s">
        <v>533</v>
      </c>
      <c r="B41" s="83" t="s">
        <v>322</v>
      </c>
      <c r="C41" s="83" t="s">
        <v>323</v>
      </c>
      <c r="D41" s="81" t="s">
        <v>35</v>
      </c>
      <c r="E41" s="0" t="s">
        <v>534</v>
      </c>
      <c r="F41" s="83" t="s">
        <v>475</v>
      </c>
    </row>
    <row r="42" customFormat="false" ht="12.8" hidden="false" customHeight="false" outlineLevel="0" collapsed="false">
      <c r="A42" s="83" t="s">
        <v>535</v>
      </c>
      <c r="B42" s="83" t="s">
        <v>325</v>
      </c>
      <c r="C42" s="83" t="s">
        <v>323</v>
      </c>
      <c r="D42" s="81" t="s">
        <v>35</v>
      </c>
      <c r="E42" s="0" t="s">
        <v>536</v>
      </c>
      <c r="F42" s="83" t="s">
        <v>475</v>
      </c>
    </row>
    <row r="43" customFormat="false" ht="12.8" hidden="false" customHeight="false" outlineLevel="0" collapsed="false">
      <c r="A43" s="83" t="s">
        <v>537</v>
      </c>
      <c r="B43" s="83" t="s">
        <v>325</v>
      </c>
      <c r="C43" s="83" t="s">
        <v>323</v>
      </c>
      <c r="D43" s="81" t="s">
        <v>35</v>
      </c>
      <c r="E43" s="0" t="s">
        <v>538</v>
      </c>
      <c r="F43" s="83" t="s">
        <v>475</v>
      </c>
    </row>
    <row r="44" customFormat="false" ht="12.8" hidden="false" customHeight="false" outlineLevel="0" collapsed="false">
      <c r="A44" s="83" t="s">
        <v>535</v>
      </c>
      <c r="B44" s="83" t="s">
        <v>325</v>
      </c>
      <c r="C44" s="83" t="s">
        <v>323</v>
      </c>
      <c r="D44" s="81" t="s">
        <v>35</v>
      </c>
      <c r="E44" s="0" t="s">
        <v>539</v>
      </c>
      <c r="F44" s="83" t="s">
        <v>475</v>
      </c>
    </row>
    <row r="45" customFormat="false" ht="12.8" hidden="false" customHeight="false" outlineLevel="0" collapsed="false">
      <c r="A45" s="83" t="s">
        <v>537</v>
      </c>
      <c r="B45" s="83" t="s">
        <v>325</v>
      </c>
      <c r="C45" s="83" t="s">
        <v>323</v>
      </c>
      <c r="D45" s="81" t="s">
        <v>35</v>
      </c>
      <c r="E45" s="0" t="s">
        <v>540</v>
      </c>
      <c r="F45" s="83" t="s">
        <v>475</v>
      </c>
    </row>
    <row r="46" customFormat="false" ht="12.8" hidden="false" customHeight="false" outlineLevel="0" collapsed="false">
      <c r="A46" s="83" t="s">
        <v>326</v>
      </c>
      <c r="B46" s="83" t="s">
        <v>327</v>
      </c>
      <c r="C46" s="83" t="s">
        <v>323</v>
      </c>
      <c r="F46" s="83" t="s">
        <v>480</v>
      </c>
    </row>
    <row r="47" customFormat="false" ht="12.8" hidden="false" customHeight="false" outlineLevel="0" collapsed="false">
      <c r="A47" s="83" t="s">
        <v>541</v>
      </c>
      <c r="B47" s="83" t="s">
        <v>329</v>
      </c>
      <c r="C47" s="83" t="s">
        <v>323</v>
      </c>
      <c r="D47" s="81" t="s">
        <v>33</v>
      </c>
      <c r="E47" s="0" t="s">
        <v>542</v>
      </c>
      <c r="F47" s="83" t="s">
        <v>475</v>
      </c>
    </row>
    <row r="48" customFormat="false" ht="12.8" hidden="false" customHeight="false" outlineLevel="0" collapsed="false">
      <c r="A48" s="83" t="s">
        <v>543</v>
      </c>
      <c r="B48" s="83" t="s">
        <v>329</v>
      </c>
      <c r="C48" s="83" t="s">
        <v>323</v>
      </c>
      <c r="D48" s="81" t="s">
        <v>33</v>
      </c>
      <c r="E48" s="0" t="s">
        <v>544</v>
      </c>
      <c r="F48" s="83" t="s">
        <v>475</v>
      </c>
    </row>
    <row r="49" customFormat="false" ht="12.8" hidden="false" customHeight="false" outlineLevel="0" collapsed="false">
      <c r="A49" s="83" t="s">
        <v>545</v>
      </c>
      <c r="B49" s="83" t="s">
        <v>329</v>
      </c>
      <c r="C49" s="83" t="s">
        <v>323</v>
      </c>
      <c r="D49" s="81" t="s">
        <v>35</v>
      </c>
      <c r="E49" s="0" t="s">
        <v>546</v>
      </c>
      <c r="F49" s="83" t="s">
        <v>475</v>
      </c>
    </row>
    <row r="50" customFormat="false" ht="12.8" hidden="false" customHeight="false" outlineLevel="0" collapsed="false">
      <c r="A50" s="83" t="s">
        <v>547</v>
      </c>
      <c r="B50" s="83" t="s">
        <v>329</v>
      </c>
      <c r="C50" s="83" t="s">
        <v>323</v>
      </c>
      <c r="D50" s="81" t="s">
        <v>35</v>
      </c>
      <c r="E50" s="0" t="s">
        <v>548</v>
      </c>
      <c r="F50" s="83" t="s">
        <v>475</v>
      </c>
    </row>
    <row r="51" customFormat="false" ht="12.8" hidden="false" customHeight="false" outlineLevel="0" collapsed="false">
      <c r="A51" s="83" t="s">
        <v>549</v>
      </c>
      <c r="B51" s="83" t="s">
        <v>331</v>
      </c>
      <c r="C51" s="83" t="s">
        <v>323</v>
      </c>
      <c r="D51" s="81" t="s">
        <v>33</v>
      </c>
      <c r="E51" s="0" t="s">
        <v>550</v>
      </c>
      <c r="F51" s="83" t="s">
        <v>475</v>
      </c>
    </row>
    <row r="52" customFormat="false" ht="12.8" hidden="false" customHeight="false" outlineLevel="0" collapsed="false">
      <c r="A52" s="83" t="s">
        <v>551</v>
      </c>
      <c r="B52" s="83" t="s">
        <v>331</v>
      </c>
      <c r="C52" s="83" t="s">
        <v>323</v>
      </c>
      <c r="D52" s="81" t="s">
        <v>33</v>
      </c>
      <c r="E52" s="0" t="s">
        <v>552</v>
      </c>
      <c r="F52" s="83" t="s">
        <v>475</v>
      </c>
    </row>
    <row r="53" customFormat="false" ht="12.8" hidden="false" customHeight="false" outlineLevel="0" collapsed="false">
      <c r="A53" s="83" t="s">
        <v>553</v>
      </c>
      <c r="B53" s="83" t="s">
        <v>331</v>
      </c>
      <c r="C53" s="83" t="s">
        <v>323</v>
      </c>
      <c r="D53" s="81" t="s">
        <v>35</v>
      </c>
      <c r="E53" s="0" t="s">
        <v>554</v>
      </c>
      <c r="F53" s="83" t="s">
        <v>475</v>
      </c>
    </row>
    <row r="54" customFormat="false" ht="12.8" hidden="false" customHeight="false" outlineLevel="0" collapsed="false">
      <c r="A54" s="83" t="s">
        <v>555</v>
      </c>
      <c r="B54" s="83" t="s">
        <v>331</v>
      </c>
      <c r="C54" s="83" t="s">
        <v>323</v>
      </c>
      <c r="D54" s="81" t="s">
        <v>35</v>
      </c>
      <c r="E54" s="0" t="s">
        <v>556</v>
      </c>
      <c r="F54" s="83" t="s">
        <v>475</v>
      </c>
    </row>
    <row r="55" customFormat="false" ht="12.8" hidden="false" customHeight="false" outlineLevel="0" collapsed="false">
      <c r="A55" s="83" t="s">
        <v>557</v>
      </c>
      <c r="B55" s="83" t="s">
        <v>333</v>
      </c>
      <c r="C55" s="83" t="s">
        <v>303</v>
      </c>
      <c r="F55" s="83" t="s">
        <v>480</v>
      </c>
    </row>
    <row r="56" customFormat="false" ht="12.8" hidden="false" customHeight="false" outlineLevel="0" collapsed="false">
      <c r="A56" s="83" t="s">
        <v>558</v>
      </c>
      <c r="B56" s="83" t="s">
        <v>335</v>
      </c>
      <c r="C56" s="83" t="s">
        <v>323</v>
      </c>
      <c r="D56" s="81" t="s">
        <v>33</v>
      </c>
      <c r="E56" s="0" t="s">
        <v>559</v>
      </c>
      <c r="F56" s="83" t="s">
        <v>475</v>
      </c>
    </row>
    <row r="57" customFormat="false" ht="12.8" hidden="false" customHeight="false" outlineLevel="0" collapsed="false">
      <c r="A57" s="83" t="s">
        <v>334</v>
      </c>
      <c r="B57" s="83" t="s">
        <v>335</v>
      </c>
      <c r="C57" s="83" t="s">
        <v>323</v>
      </c>
      <c r="D57" s="81" t="s">
        <v>33</v>
      </c>
      <c r="E57" s="0" t="s">
        <v>560</v>
      </c>
      <c r="F57" s="83" t="s">
        <v>475</v>
      </c>
    </row>
    <row r="58" customFormat="false" ht="12.8" hidden="false" customHeight="false" outlineLevel="0" collapsed="false">
      <c r="A58" s="83" t="s">
        <v>561</v>
      </c>
      <c r="B58" s="83" t="s">
        <v>337</v>
      </c>
      <c r="C58" s="83" t="s">
        <v>323</v>
      </c>
      <c r="D58" s="81" t="s">
        <v>33</v>
      </c>
      <c r="E58" s="0" t="s">
        <v>562</v>
      </c>
      <c r="F58" s="83" t="s">
        <v>475</v>
      </c>
    </row>
    <row r="59" customFormat="false" ht="12.8" hidden="false" customHeight="false" outlineLevel="0" collapsed="false">
      <c r="A59" s="83" t="s">
        <v>563</v>
      </c>
      <c r="B59" s="83" t="s">
        <v>337</v>
      </c>
      <c r="C59" s="83" t="s">
        <v>323</v>
      </c>
      <c r="D59" s="81" t="s">
        <v>33</v>
      </c>
      <c r="E59" s="0" t="s">
        <v>564</v>
      </c>
      <c r="F59" s="83" t="s">
        <v>475</v>
      </c>
    </row>
    <row r="60" customFormat="false" ht="12.8" hidden="false" customHeight="false" outlineLevel="0" collapsed="false">
      <c r="A60" s="83" t="s">
        <v>565</v>
      </c>
      <c r="B60" s="83" t="s">
        <v>337</v>
      </c>
      <c r="C60" s="83" t="s">
        <v>323</v>
      </c>
      <c r="D60" s="81" t="s">
        <v>35</v>
      </c>
      <c r="E60" s="0" t="s">
        <v>566</v>
      </c>
      <c r="F60" s="83" t="s">
        <v>475</v>
      </c>
    </row>
    <row r="61" customFormat="false" ht="12.8" hidden="false" customHeight="false" outlineLevel="0" collapsed="false">
      <c r="A61" s="83" t="s">
        <v>338</v>
      </c>
      <c r="B61" s="83" t="s">
        <v>339</v>
      </c>
      <c r="C61" s="83" t="s">
        <v>323</v>
      </c>
      <c r="F61" s="83" t="s">
        <v>480</v>
      </c>
    </row>
    <row r="62" customFormat="false" ht="12.8" hidden="false" customHeight="false" outlineLevel="0" collapsed="false">
      <c r="A62" s="83" t="s">
        <v>567</v>
      </c>
      <c r="B62" s="83" t="s">
        <v>341</v>
      </c>
      <c r="C62" s="83" t="s">
        <v>323</v>
      </c>
      <c r="D62" s="81" t="s">
        <v>33</v>
      </c>
      <c r="E62" s="0" t="s">
        <v>568</v>
      </c>
      <c r="F62" s="83" t="s">
        <v>475</v>
      </c>
    </row>
    <row r="63" customFormat="false" ht="12.8" hidden="false" customHeight="false" outlineLevel="0" collapsed="false">
      <c r="A63" s="83" t="s">
        <v>569</v>
      </c>
      <c r="B63" s="83" t="s">
        <v>341</v>
      </c>
      <c r="C63" s="83" t="s">
        <v>323</v>
      </c>
      <c r="D63" s="81" t="s">
        <v>33</v>
      </c>
      <c r="E63" s="0" t="s">
        <v>570</v>
      </c>
      <c r="F63" s="83" t="s">
        <v>475</v>
      </c>
    </row>
    <row r="64" customFormat="false" ht="12.8" hidden="false" customHeight="false" outlineLevel="0" collapsed="false">
      <c r="A64" s="83" t="s">
        <v>571</v>
      </c>
      <c r="B64" s="83" t="s">
        <v>341</v>
      </c>
      <c r="C64" s="83" t="s">
        <v>323</v>
      </c>
      <c r="D64" s="81" t="s">
        <v>35</v>
      </c>
      <c r="E64" s="0" t="s">
        <v>572</v>
      </c>
      <c r="F64" s="83" t="s">
        <v>475</v>
      </c>
    </row>
    <row r="65" customFormat="false" ht="12.8" hidden="false" customHeight="false" outlineLevel="0" collapsed="false">
      <c r="A65" s="83" t="s">
        <v>573</v>
      </c>
      <c r="B65" s="83" t="s">
        <v>343</v>
      </c>
      <c r="C65" s="83" t="s">
        <v>320</v>
      </c>
      <c r="D65" s="81" t="s">
        <v>35</v>
      </c>
      <c r="E65" s="0" t="s">
        <v>574</v>
      </c>
      <c r="F65" s="83" t="s">
        <v>475</v>
      </c>
    </row>
    <row r="66" customFormat="false" ht="12.8" hidden="false" customHeight="false" outlineLevel="0" collapsed="false">
      <c r="A66" s="85" t="s">
        <v>575</v>
      </c>
      <c r="B66" s="83" t="s">
        <v>343</v>
      </c>
      <c r="C66" s="83" t="s">
        <v>320</v>
      </c>
      <c r="D66" s="81" t="s">
        <v>35</v>
      </c>
      <c r="E66" s="0" t="s">
        <v>576</v>
      </c>
      <c r="F66" s="83" t="s">
        <v>475</v>
      </c>
    </row>
    <row r="67" customFormat="false" ht="12.8" hidden="false" customHeight="false" outlineLevel="0" collapsed="false">
      <c r="A67" s="83" t="s">
        <v>577</v>
      </c>
      <c r="B67" s="83" t="s">
        <v>345</v>
      </c>
      <c r="C67" s="83" t="s">
        <v>320</v>
      </c>
      <c r="D67" s="81" t="s">
        <v>35</v>
      </c>
      <c r="E67" s="0" t="s">
        <v>578</v>
      </c>
      <c r="F67" s="83" t="s">
        <v>475</v>
      </c>
    </row>
    <row r="68" customFormat="false" ht="12.8" hidden="false" customHeight="false" outlineLevel="0" collapsed="false">
      <c r="A68" s="83" t="s">
        <v>579</v>
      </c>
      <c r="B68" s="83" t="s">
        <v>345</v>
      </c>
      <c r="C68" s="83" t="s">
        <v>320</v>
      </c>
      <c r="D68" s="81" t="s">
        <v>35</v>
      </c>
      <c r="E68" s="0" t="s">
        <v>580</v>
      </c>
      <c r="F68" s="83" t="s">
        <v>475</v>
      </c>
    </row>
    <row r="69" customFormat="false" ht="12.8" hidden="false" customHeight="false" outlineLevel="0" collapsed="false">
      <c r="A69" s="83" t="s">
        <v>581</v>
      </c>
      <c r="B69" s="83" t="s">
        <v>347</v>
      </c>
      <c r="C69" s="83" t="s">
        <v>320</v>
      </c>
      <c r="D69" s="81" t="s">
        <v>35</v>
      </c>
      <c r="E69" s="0" t="s">
        <v>582</v>
      </c>
      <c r="F69" s="83" t="s">
        <v>475</v>
      </c>
    </row>
    <row r="70" customFormat="false" ht="12.8" hidden="false" customHeight="false" outlineLevel="0" collapsed="false">
      <c r="A70" s="83" t="s">
        <v>583</v>
      </c>
      <c r="B70" s="83" t="s">
        <v>347</v>
      </c>
      <c r="C70" s="83" t="s">
        <v>320</v>
      </c>
      <c r="D70" s="81" t="s">
        <v>35</v>
      </c>
      <c r="E70" s="0" t="s">
        <v>584</v>
      </c>
      <c r="F70" s="83" t="s">
        <v>475</v>
      </c>
    </row>
    <row r="71" customFormat="false" ht="12.8" hidden="false" customHeight="false" outlineLevel="0" collapsed="false">
      <c r="A71" s="83" t="s">
        <v>585</v>
      </c>
      <c r="B71" s="83" t="s">
        <v>349</v>
      </c>
      <c r="C71" s="83" t="s">
        <v>303</v>
      </c>
      <c r="D71" s="81" t="s">
        <v>35</v>
      </c>
      <c r="E71" s="0" t="s">
        <v>586</v>
      </c>
      <c r="F71" s="83" t="s">
        <v>475</v>
      </c>
    </row>
    <row r="72" customFormat="false" ht="12.8" hidden="false" customHeight="false" outlineLevel="0" collapsed="false">
      <c r="A72" s="83" t="s">
        <v>587</v>
      </c>
      <c r="B72" s="83" t="s">
        <v>349</v>
      </c>
      <c r="C72" s="83" t="s">
        <v>303</v>
      </c>
      <c r="D72" s="81" t="s">
        <v>35</v>
      </c>
      <c r="E72" s="0" t="s">
        <v>588</v>
      </c>
      <c r="F72" s="83" t="s">
        <v>475</v>
      </c>
    </row>
    <row r="73" customFormat="false" ht="12.8" hidden="false" customHeight="false" outlineLevel="0" collapsed="false">
      <c r="A73" s="83" t="s">
        <v>589</v>
      </c>
      <c r="B73" s="83" t="s">
        <v>351</v>
      </c>
      <c r="C73" s="83" t="s">
        <v>303</v>
      </c>
      <c r="D73" s="81" t="s">
        <v>33</v>
      </c>
      <c r="E73" s="0" t="s">
        <v>590</v>
      </c>
      <c r="F73" s="83" t="s">
        <v>475</v>
      </c>
    </row>
    <row r="74" customFormat="false" ht="12.8" hidden="false" customHeight="false" outlineLevel="0" collapsed="false">
      <c r="A74" s="83" t="s">
        <v>591</v>
      </c>
      <c r="B74" s="83" t="s">
        <v>351</v>
      </c>
      <c r="C74" s="83" t="s">
        <v>303</v>
      </c>
      <c r="D74" s="81" t="s">
        <v>33</v>
      </c>
      <c r="E74" s="0" t="s">
        <v>592</v>
      </c>
      <c r="F74" s="83" t="s">
        <v>475</v>
      </c>
    </row>
    <row r="75" customFormat="false" ht="12.8" hidden="false" customHeight="false" outlineLevel="0" collapsed="false">
      <c r="A75" s="83" t="s">
        <v>593</v>
      </c>
      <c r="B75" s="83" t="s">
        <v>351</v>
      </c>
      <c r="C75" s="83" t="s">
        <v>303</v>
      </c>
      <c r="D75" s="81" t="s">
        <v>35</v>
      </c>
      <c r="E75" s="0" t="s">
        <v>594</v>
      </c>
      <c r="F75" s="83" t="s">
        <v>475</v>
      </c>
    </row>
    <row r="76" customFormat="false" ht="12.8" hidden="false" customHeight="false" outlineLevel="0" collapsed="false">
      <c r="A76" s="83" t="s">
        <v>595</v>
      </c>
      <c r="B76" s="83" t="s">
        <v>351</v>
      </c>
      <c r="C76" s="83" t="s">
        <v>303</v>
      </c>
      <c r="D76" s="81" t="s">
        <v>35</v>
      </c>
      <c r="E76" s="0" t="s">
        <v>596</v>
      </c>
      <c r="F76" s="83" t="s">
        <v>475</v>
      </c>
    </row>
    <row r="77" customFormat="false" ht="12.8" hidden="false" customHeight="false" outlineLevel="0" collapsed="false">
      <c r="A77" s="83" t="s">
        <v>597</v>
      </c>
      <c r="B77" s="83" t="s">
        <v>353</v>
      </c>
      <c r="C77" s="83" t="s">
        <v>303</v>
      </c>
      <c r="D77" s="81" t="s">
        <v>33</v>
      </c>
      <c r="E77" s="0" t="s">
        <v>598</v>
      </c>
      <c r="F77" s="83" t="s">
        <v>475</v>
      </c>
    </row>
    <row r="78" customFormat="false" ht="12.8" hidden="false" customHeight="false" outlineLevel="0" collapsed="false">
      <c r="A78" s="83" t="s">
        <v>599</v>
      </c>
      <c r="B78" s="83" t="s">
        <v>353</v>
      </c>
      <c r="C78" s="83" t="s">
        <v>303</v>
      </c>
      <c r="D78" s="81" t="s">
        <v>33</v>
      </c>
      <c r="E78" s="0" t="s">
        <v>600</v>
      </c>
      <c r="F78" s="83" t="s">
        <v>475</v>
      </c>
    </row>
    <row r="79" customFormat="false" ht="12.8" hidden="false" customHeight="false" outlineLevel="0" collapsed="false">
      <c r="A79" s="83" t="s">
        <v>597</v>
      </c>
      <c r="B79" s="83" t="s">
        <v>353</v>
      </c>
      <c r="C79" s="83" t="s">
        <v>303</v>
      </c>
      <c r="D79" s="81" t="s">
        <v>35</v>
      </c>
      <c r="E79" s="0" t="s">
        <v>601</v>
      </c>
      <c r="F79" s="83" t="s">
        <v>475</v>
      </c>
    </row>
    <row r="80" customFormat="false" ht="12.8" hidden="false" customHeight="false" outlineLevel="0" collapsed="false">
      <c r="A80" s="83" t="s">
        <v>602</v>
      </c>
      <c r="B80" s="83" t="s">
        <v>353</v>
      </c>
      <c r="C80" s="83" t="s">
        <v>303</v>
      </c>
      <c r="D80" s="81" t="s">
        <v>35</v>
      </c>
      <c r="E80" s="0" t="s">
        <v>603</v>
      </c>
      <c r="F80" s="83" t="s">
        <v>475</v>
      </c>
    </row>
    <row r="81" customFormat="false" ht="12.8" hidden="false" customHeight="false" outlineLevel="0" collapsed="false">
      <c r="A81" s="83" t="s">
        <v>604</v>
      </c>
      <c r="B81" s="83" t="s">
        <v>355</v>
      </c>
      <c r="C81" s="83" t="s">
        <v>323</v>
      </c>
      <c r="D81" s="81" t="s">
        <v>33</v>
      </c>
      <c r="E81" s="0" t="s">
        <v>605</v>
      </c>
      <c r="F81" s="83" t="s">
        <v>475</v>
      </c>
    </row>
    <row r="82" customFormat="false" ht="12.8" hidden="false" customHeight="false" outlineLevel="0" collapsed="false">
      <c r="A82" s="83" t="s">
        <v>606</v>
      </c>
      <c r="B82" s="83" t="s">
        <v>355</v>
      </c>
      <c r="C82" s="83" t="s">
        <v>323</v>
      </c>
      <c r="D82" s="81" t="s">
        <v>35</v>
      </c>
      <c r="E82" s="0" t="s">
        <v>607</v>
      </c>
      <c r="F82" s="83" t="s">
        <v>475</v>
      </c>
    </row>
    <row r="83" customFormat="false" ht="12.8" hidden="false" customHeight="false" outlineLevel="0" collapsed="false">
      <c r="A83" s="83" t="s">
        <v>608</v>
      </c>
      <c r="B83" s="83" t="s">
        <v>355</v>
      </c>
      <c r="C83" s="83" t="s">
        <v>323</v>
      </c>
      <c r="D83" s="81" t="s">
        <v>35</v>
      </c>
      <c r="E83" s="0" t="s">
        <v>609</v>
      </c>
      <c r="F83" s="83" t="s">
        <v>475</v>
      </c>
    </row>
    <row r="84" customFormat="false" ht="12.8" hidden="false" customHeight="false" outlineLevel="0" collapsed="false">
      <c r="A84" s="83" t="s">
        <v>610</v>
      </c>
      <c r="B84" s="83" t="s">
        <v>357</v>
      </c>
      <c r="C84" s="83" t="s">
        <v>320</v>
      </c>
      <c r="D84" s="81" t="s">
        <v>35</v>
      </c>
      <c r="E84" s="0" t="s">
        <v>611</v>
      </c>
      <c r="F84" s="83" t="s">
        <v>475</v>
      </c>
    </row>
    <row r="85" customFormat="false" ht="12.8" hidden="false" customHeight="false" outlineLevel="0" collapsed="false">
      <c r="A85" s="83" t="s">
        <v>612</v>
      </c>
      <c r="B85" s="83" t="s">
        <v>357</v>
      </c>
      <c r="C85" s="83" t="s">
        <v>320</v>
      </c>
      <c r="D85" s="81" t="s">
        <v>35</v>
      </c>
      <c r="E85" s="0" t="s">
        <v>613</v>
      </c>
      <c r="F85" s="83" t="s">
        <v>475</v>
      </c>
    </row>
    <row r="86" customFormat="false" ht="12.8" hidden="false" customHeight="false" outlineLevel="0" collapsed="false">
      <c r="A86" s="83" t="s">
        <v>614</v>
      </c>
      <c r="B86" s="83" t="s">
        <v>359</v>
      </c>
      <c r="C86" s="83" t="s">
        <v>320</v>
      </c>
      <c r="D86" s="85" t="s">
        <v>35</v>
      </c>
      <c r="E86" s="0" t="s">
        <v>615</v>
      </c>
      <c r="F86" s="83" t="s">
        <v>475</v>
      </c>
    </row>
    <row r="87" customFormat="false" ht="12.8" hidden="false" customHeight="false" outlineLevel="0" collapsed="false">
      <c r="A87" s="83" t="s">
        <v>616</v>
      </c>
      <c r="B87" s="83" t="s">
        <v>359</v>
      </c>
      <c r="C87" s="83" t="s">
        <v>320</v>
      </c>
      <c r="D87" s="81" t="s">
        <v>35</v>
      </c>
      <c r="E87" s="0" t="s">
        <v>617</v>
      </c>
      <c r="F87" s="83" t="s">
        <v>475</v>
      </c>
    </row>
    <row r="88" customFormat="false" ht="12.8" hidden="false" customHeight="false" outlineLevel="0" collapsed="false">
      <c r="A88" s="83" t="s">
        <v>618</v>
      </c>
      <c r="B88" s="83" t="s">
        <v>361</v>
      </c>
      <c r="C88" s="83" t="s">
        <v>320</v>
      </c>
      <c r="D88" s="81" t="s">
        <v>35</v>
      </c>
      <c r="E88" s="0" t="s">
        <v>619</v>
      </c>
      <c r="F88" s="83" t="s">
        <v>475</v>
      </c>
    </row>
    <row r="89" customFormat="false" ht="12.8" hidden="false" customHeight="false" outlineLevel="0" collapsed="false">
      <c r="A89" s="83" t="s">
        <v>620</v>
      </c>
      <c r="B89" s="83" t="s">
        <v>361</v>
      </c>
      <c r="C89" s="83" t="s">
        <v>320</v>
      </c>
      <c r="D89" s="81" t="s">
        <v>35</v>
      </c>
      <c r="E89" s="0" t="s">
        <v>621</v>
      </c>
      <c r="F89" s="83" t="s">
        <v>475</v>
      </c>
    </row>
    <row r="90" customFormat="false" ht="12.8" hidden="false" customHeight="false" outlineLevel="0" collapsed="false">
      <c r="A90" s="83" t="s">
        <v>622</v>
      </c>
      <c r="B90" s="83" t="s">
        <v>363</v>
      </c>
      <c r="C90" s="83" t="s">
        <v>320</v>
      </c>
      <c r="D90" s="81" t="s">
        <v>35</v>
      </c>
      <c r="E90" s="0" t="s">
        <v>623</v>
      </c>
      <c r="F90" s="83" t="s">
        <v>475</v>
      </c>
    </row>
    <row r="91" customFormat="false" ht="12.8" hidden="false" customHeight="false" outlineLevel="0" collapsed="false">
      <c r="A91" s="83" t="s">
        <v>624</v>
      </c>
      <c r="B91" s="83" t="s">
        <v>363</v>
      </c>
      <c r="C91" s="83" t="s">
        <v>320</v>
      </c>
      <c r="D91" s="81" t="s">
        <v>35</v>
      </c>
      <c r="E91" s="0" t="s">
        <v>625</v>
      </c>
      <c r="F91" s="83" t="s">
        <v>475</v>
      </c>
    </row>
    <row r="92" customFormat="false" ht="12.8" hidden="false" customHeight="false" outlineLevel="0" collapsed="false">
      <c r="A92" s="83" t="s">
        <v>626</v>
      </c>
      <c r="B92" s="83" t="s">
        <v>364</v>
      </c>
      <c r="C92" s="83" t="s">
        <v>323</v>
      </c>
      <c r="D92" s="81" t="s">
        <v>33</v>
      </c>
      <c r="E92" s="0" t="s">
        <v>627</v>
      </c>
      <c r="F92" s="83" t="s">
        <v>475</v>
      </c>
    </row>
    <row r="93" customFormat="false" ht="12.8" hidden="false" customHeight="false" outlineLevel="0" collapsed="false">
      <c r="A93" s="83" t="s">
        <v>628</v>
      </c>
      <c r="B93" s="83" t="s">
        <v>364</v>
      </c>
      <c r="C93" s="83" t="s">
        <v>323</v>
      </c>
      <c r="D93" s="81" t="s">
        <v>33</v>
      </c>
      <c r="E93" s="0" t="s">
        <v>629</v>
      </c>
      <c r="F93" s="83" t="s">
        <v>475</v>
      </c>
    </row>
    <row r="94" customFormat="false" ht="12.8" hidden="false" customHeight="false" outlineLevel="0" collapsed="false">
      <c r="A94" s="83" t="s">
        <v>630</v>
      </c>
      <c r="B94" s="83" t="s">
        <v>364</v>
      </c>
      <c r="C94" s="83" t="s">
        <v>323</v>
      </c>
      <c r="D94" s="81" t="s">
        <v>33</v>
      </c>
      <c r="E94" s="0" t="s">
        <v>631</v>
      </c>
      <c r="F94" s="83" t="s">
        <v>475</v>
      </c>
    </row>
    <row r="95" customFormat="false" ht="12.8" hidden="false" customHeight="false" outlineLevel="0" collapsed="false">
      <c r="A95" s="83" t="s">
        <v>632</v>
      </c>
      <c r="B95" s="83" t="s">
        <v>364</v>
      </c>
      <c r="C95" s="83" t="s">
        <v>323</v>
      </c>
      <c r="D95" s="81" t="s">
        <v>33</v>
      </c>
      <c r="E95" s="0" t="s">
        <v>633</v>
      </c>
      <c r="F95" s="83" t="s">
        <v>475</v>
      </c>
    </row>
    <row r="96" customFormat="false" ht="12.8" hidden="false" customHeight="false" outlineLevel="0" collapsed="false">
      <c r="A96" s="83" t="s">
        <v>630</v>
      </c>
      <c r="B96" s="83" t="s">
        <v>364</v>
      </c>
      <c r="C96" s="83" t="s">
        <v>323</v>
      </c>
      <c r="D96" s="81" t="s">
        <v>35</v>
      </c>
      <c r="E96" s="0" t="s">
        <v>634</v>
      </c>
      <c r="F96" s="83" t="s">
        <v>475</v>
      </c>
    </row>
    <row r="97" customFormat="false" ht="12.8" hidden="false" customHeight="false" outlineLevel="0" collapsed="false">
      <c r="A97" s="83" t="s">
        <v>628</v>
      </c>
      <c r="B97" s="83" t="s">
        <v>364</v>
      </c>
      <c r="C97" s="83" t="s">
        <v>323</v>
      </c>
      <c r="D97" s="81" t="s">
        <v>35</v>
      </c>
      <c r="E97" s="0" t="s">
        <v>635</v>
      </c>
      <c r="F97" s="83" t="s">
        <v>475</v>
      </c>
    </row>
    <row r="98" customFormat="false" ht="12.8" hidden="false" customHeight="false" outlineLevel="0" collapsed="false">
      <c r="A98" s="83" t="s">
        <v>636</v>
      </c>
      <c r="B98" s="83" t="s">
        <v>366</v>
      </c>
      <c r="C98" s="83" t="s">
        <v>320</v>
      </c>
      <c r="D98" s="81" t="s">
        <v>35</v>
      </c>
      <c r="E98" s="0" t="s">
        <v>637</v>
      </c>
      <c r="F98" s="83" t="s">
        <v>475</v>
      </c>
    </row>
    <row r="99" customFormat="false" ht="12.8" hidden="false" customHeight="false" outlineLevel="0" collapsed="false">
      <c r="A99" s="83" t="s">
        <v>638</v>
      </c>
      <c r="B99" s="83" t="s">
        <v>366</v>
      </c>
      <c r="C99" s="83" t="s">
        <v>320</v>
      </c>
      <c r="D99" s="81" t="s">
        <v>35</v>
      </c>
      <c r="E99" s="0" t="s">
        <v>639</v>
      </c>
      <c r="F99" s="83" t="s">
        <v>475</v>
      </c>
    </row>
    <row r="100" customFormat="false" ht="12.8" hidden="false" customHeight="false" outlineLevel="0" collapsed="false">
      <c r="A100" s="83" t="s">
        <v>640</v>
      </c>
      <c r="B100" s="83" t="s">
        <v>367</v>
      </c>
      <c r="C100" s="83" t="s">
        <v>320</v>
      </c>
      <c r="D100" s="81" t="s">
        <v>35</v>
      </c>
      <c r="E100" s="0" t="s">
        <v>641</v>
      </c>
      <c r="F100" s="83" t="s">
        <v>475</v>
      </c>
    </row>
    <row r="101" customFormat="false" ht="12.8" hidden="false" customHeight="false" outlineLevel="0" collapsed="false">
      <c r="A101" s="83" t="s">
        <v>642</v>
      </c>
      <c r="B101" s="83" t="s">
        <v>367</v>
      </c>
      <c r="C101" s="83" t="s">
        <v>320</v>
      </c>
      <c r="D101" s="81" t="s">
        <v>35</v>
      </c>
      <c r="E101" s="0" t="s">
        <v>643</v>
      </c>
      <c r="F101" s="83" t="s">
        <v>475</v>
      </c>
    </row>
    <row r="102" customFormat="false" ht="12.8" hidden="false" customHeight="false" outlineLevel="0" collapsed="false">
      <c r="A102" s="83" t="s">
        <v>644</v>
      </c>
      <c r="B102" s="83" t="s">
        <v>369</v>
      </c>
      <c r="C102" s="83" t="s">
        <v>323</v>
      </c>
      <c r="D102" s="81" t="s">
        <v>35</v>
      </c>
      <c r="E102" s="0" t="s">
        <v>645</v>
      </c>
      <c r="F102" s="83" t="s">
        <v>475</v>
      </c>
    </row>
    <row r="103" customFormat="false" ht="12.8" hidden="false" customHeight="false" outlineLevel="0" collapsed="false">
      <c r="A103" s="83" t="s">
        <v>646</v>
      </c>
      <c r="B103" s="83" t="s">
        <v>369</v>
      </c>
      <c r="C103" s="83" t="s">
        <v>323</v>
      </c>
      <c r="D103" s="81" t="s">
        <v>35</v>
      </c>
      <c r="E103" s="0" t="s">
        <v>647</v>
      </c>
      <c r="F103" s="83" t="s">
        <v>475</v>
      </c>
    </row>
    <row r="104" customFormat="false" ht="12.8" hidden="false" customHeight="false" outlineLevel="0" collapsed="false">
      <c r="A104" s="83" t="s">
        <v>648</v>
      </c>
      <c r="B104" s="83" t="s">
        <v>369</v>
      </c>
      <c r="C104" s="83" t="s">
        <v>323</v>
      </c>
      <c r="D104" s="81" t="s">
        <v>35</v>
      </c>
      <c r="E104" s="0" t="s">
        <v>649</v>
      </c>
      <c r="F104" s="83" t="s">
        <v>475</v>
      </c>
    </row>
    <row r="105" customFormat="false" ht="12.8" hidden="false" customHeight="false" outlineLevel="0" collapsed="false">
      <c r="A105" s="83" t="s">
        <v>648</v>
      </c>
      <c r="B105" s="83" t="s">
        <v>369</v>
      </c>
      <c r="C105" s="83" t="s">
        <v>323</v>
      </c>
      <c r="D105" s="81" t="s">
        <v>35</v>
      </c>
      <c r="E105" s="0" t="s">
        <v>650</v>
      </c>
      <c r="F105" s="83" t="s">
        <v>475</v>
      </c>
    </row>
    <row r="106" customFormat="false" ht="12.8" hidden="false" customHeight="false" outlineLevel="0" collapsed="false">
      <c r="A106" s="83" t="s">
        <v>646</v>
      </c>
      <c r="B106" s="83" t="s">
        <v>369</v>
      </c>
      <c r="C106" s="83" t="s">
        <v>323</v>
      </c>
      <c r="D106" s="81" t="s">
        <v>35</v>
      </c>
      <c r="E106" s="0" t="s">
        <v>650</v>
      </c>
      <c r="F106" s="83" t="s">
        <v>475</v>
      </c>
    </row>
    <row r="107" customFormat="false" ht="12.8" hidden="false" customHeight="false" outlineLevel="0" collapsed="false">
      <c r="A107" s="83" t="s">
        <v>370</v>
      </c>
      <c r="B107" s="83" t="s">
        <v>371</v>
      </c>
      <c r="C107" s="83" t="s">
        <v>303</v>
      </c>
      <c r="F107" s="83"/>
    </row>
    <row r="108" customFormat="false" ht="12.8" hidden="false" customHeight="false" outlineLevel="0" collapsed="false">
      <c r="A108" s="83" t="s">
        <v>651</v>
      </c>
      <c r="B108" s="83" t="s">
        <v>373</v>
      </c>
      <c r="C108" s="83" t="s">
        <v>303</v>
      </c>
      <c r="F108" s="83"/>
    </row>
    <row r="109" customFormat="false" ht="12.8" hidden="false" customHeight="false" outlineLevel="0" collapsed="false">
      <c r="A109" s="83" t="s">
        <v>652</v>
      </c>
      <c r="B109" s="83" t="s">
        <v>375</v>
      </c>
      <c r="C109" s="83" t="s">
        <v>303</v>
      </c>
      <c r="F109" s="83"/>
    </row>
    <row r="110" customFormat="false" ht="12.8" hidden="false" customHeight="false" outlineLevel="0" collapsed="false">
      <c r="A110" s="83" t="s">
        <v>653</v>
      </c>
      <c r="B110" s="83" t="s">
        <v>377</v>
      </c>
      <c r="C110" s="83" t="s">
        <v>303</v>
      </c>
      <c r="F110" s="83"/>
    </row>
    <row r="111" customFormat="false" ht="12.8" hidden="false" customHeight="false" outlineLevel="0" collapsed="false">
      <c r="A111" s="83" t="s">
        <v>654</v>
      </c>
      <c r="B111" s="83" t="s">
        <v>379</v>
      </c>
      <c r="C111" s="83" t="s">
        <v>303</v>
      </c>
      <c r="F111" s="83"/>
    </row>
    <row r="112" customFormat="false" ht="12.8" hidden="false" customHeight="false" outlineLevel="0" collapsed="false">
      <c r="A112" s="83" t="s">
        <v>380</v>
      </c>
      <c r="B112" s="83" t="s">
        <v>381</v>
      </c>
      <c r="C112" s="83" t="s">
        <v>303</v>
      </c>
      <c r="F112" s="83"/>
    </row>
    <row r="113" customFormat="false" ht="12.8" hidden="false" customHeight="false" outlineLevel="0" collapsed="false">
      <c r="A113" s="83" t="s">
        <v>655</v>
      </c>
      <c r="B113" s="83" t="s">
        <v>382</v>
      </c>
      <c r="C113" s="83" t="s">
        <v>303</v>
      </c>
      <c r="F113" s="83"/>
    </row>
    <row r="114" customFormat="false" ht="12.8" hidden="false" customHeight="false" outlineLevel="0" collapsed="false">
      <c r="A114" s="83" t="s">
        <v>656</v>
      </c>
      <c r="B114" s="83" t="s">
        <v>383</v>
      </c>
      <c r="C114" s="83" t="s">
        <v>303</v>
      </c>
      <c r="F114" s="83"/>
    </row>
    <row r="115" customFormat="false" ht="12.8" hidden="false" customHeight="false" outlineLevel="0" collapsed="false">
      <c r="A115" s="83" t="s">
        <v>384</v>
      </c>
      <c r="B115" s="83" t="s">
        <v>385</v>
      </c>
      <c r="C115" s="83" t="s">
        <v>287</v>
      </c>
      <c r="F115" s="83"/>
    </row>
    <row r="116" customFormat="false" ht="12.8" hidden="false" customHeight="false" outlineLevel="0" collapsed="false">
      <c r="A116" s="83" t="s">
        <v>386</v>
      </c>
      <c r="B116" s="83" t="s">
        <v>387</v>
      </c>
      <c r="C116" s="83" t="s">
        <v>388</v>
      </c>
      <c r="F116" s="83"/>
    </row>
    <row r="117" customFormat="false" ht="12.8" hidden="false" customHeight="false" outlineLevel="0" collapsed="false">
      <c r="A117" s="83" t="s">
        <v>389</v>
      </c>
      <c r="B117" s="83" t="s">
        <v>390</v>
      </c>
      <c r="C117" s="83" t="s">
        <v>388</v>
      </c>
      <c r="F117" s="83"/>
    </row>
    <row r="118" customFormat="false" ht="12.8" hidden="false" customHeight="false" outlineLevel="0" collapsed="false">
      <c r="A118" s="83" t="s">
        <v>391</v>
      </c>
      <c r="B118" s="83" t="s">
        <v>392</v>
      </c>
      <c r="C118" s="83" t="s">
        <v>388</v>
      </c>
      <c r="F118" s="83"/>
    </row>
    <row r="119" customFormat="false" ht="12.8" hidden="false" customHeight="false" outlineLevel="0" collapsed="false">
      <c r="A119" s="83" t="s">
        <v>657</v>
      </c>
      <c r="B119" s="83" t="s">
        <v>394</v>
      </c>
      <c r="C119" s="83" t="s">
        <v>388</v>
      </c>
      <c r="F119" s="83"/>
    </row>
    <row r="120" customFormat="false" ht="12.8" hidden="false" customHeight="false" outlineLevel="0" collapsed="false">
      <c r="A120" s="83" t="s">
        <v>236</v>
      </c>
      <c r="B120" s="83" t="s">
        <v>395</v>
      </c>
      <c r="C120" s="83" t="s">
        <v>396</v>
      </c>
      <c r="F120" s="83"/>
    </row>
    <row r="121" customFormat="false" ht="12.8" hidden="false" customHeight="false" outlineLevel="0" collapsed="false">
      <c r="A121" s="83" t="s">
        <v>397</v>
      </c>
      <c r="B121" s="83" t="s">
        <v>398</v>
      </c>
      <c r="C121" s="83" t="s">
        <v>396</v>
      </c>
      <c r="F121" s="83"/>
    </row>
    <row r="122" customFormat="false" ht="12.8" hidden="false" customHeight="false" outlineLevel="0" collapsed="false">
      <c r="A122" s="83" t="s">
        <v>36</v>
      </c>
      <c r="B122" s="83" t="s">
        <v>399</v>
      </c>
      <c r="C122" s="83" t="s">
        <v>396</v>
      </c>
      <c r="F122" s="83"/>
    </row>
    <row r="123" customFormat="false" ht="12.8" hidden="false" customHeight="false" outlineLevel="0" collapsed="false">
      <c r="A123" s="83" t="s">
        <v>400</v>
      </c>
      <c r="B123" s="83" t="s">
        <v>401</v>
      </c>
      <c r="C123" s="83" t="s">
        <v>396</v>
      </c>
      <c r="F123" s="83"/>
    </row>
    <row r="124" customFormat="false" ht="12.8" hidden="false" customHeight="false" outlineLevel="0" collapsed="false">
      <c r="A124" s="83" t="s">
        <v>235</v>
      </c>
      <c r="B124" s="83" t="s">
        <v>402</v>
      </c>
      <c r="C124" s="83" t="s">
        <v>396</v>
      </c>
      <c r="F124" s="83"/>
    </row>
    <row r="125" customFormat="false" ht="12.8" hidden="false" customHeight="false" outlineLevel="0" collapsed="false">
      <c r="A125" s="83" t="s">
        <v>403</v>
      </c>
      <c r="B125" s="83" t="s">
        <v>404</v>
      </c>
      <c r="C125" s="83" t="s">
        <v>388</v>
      </c>
      <c r="F125" s="83"/>
    </row>
    <row r="126" customFormat="false" ht="12.8" hidden="false" customHeight="false" outlineLevel="0" collapsed="false">
      <c r="A126" s="83" t="s">
        <v>405</v>
      </c>
      <c r="B126" s="83" t="s">
        <v>406</v>
      </c>
      <c r="C126" s="83" t="s">
        <v>388</v>
      </c>
      <c r="F126" s="83"/>
    </row>
    <row r="127" customFormat="false" ht="12.8" hidden="false" customHeight="false" outlineLevel="0" collapsed="false">
      <c r="A127" s="83" t="s">
        <v>407</v>
      </c>
      <c r="B127" s="83" t="s">
        <v>408</v>
      </c>
      <c r="C127" s="83" t="s">
        <v>388</v>
      </c>
      <c r="F127" s="83"/>
    </row>
    <row r="128" customFormat="false" ht="12.8" hidden="false" customHeight="false" outlineLevel="0" collapsed="false">
      <c r="A128" s="83" t="s">
        <v>409</v>
      </c>
      <c r="B128" s="83" t="s">
        <v>410</v>
      </c>
      <c r="C128" s="83" t="s">
        <v>320</v>
      </c>
      <c r="F128" s="83"/>
    </row>
    <row r="129" customFormat="false" ht="12.8" hidden="false" customHeight="false" outlineLevel="0" collapsed="false">
      <c r="A129" s="83" t="s">
        <v>411</v>
      </c>
      <c r="B129" s="83" t="s">
        <v>412</v>
      </c>
      <c r="C129" s="83" t="s">
        <v>323</v>
      </c>
      <c r="F129" s="83"/>
    </row>
    <row r="130" customFormat="false" ht="12.8" hidden="false" customHeight="false" outlineLevel="0" collapsed="false">
      <c r="A130" s="83" t="s">
        <v>413</v>
      </c>
      <c r="B130" s="83" t="s">
        <v>414</v>
      </c>
      <c r="C130" s="83" t="s">
        <v>303</v>
      </c>
      <c r="F130" s="83"/>
    </row>
    <row r="131" customFormat="false" ht="12.8" hidden="false" customHeight="false" outlineLevel="0" collapsed="false">
      <c r="A131" s="83" t="s">
        <v>415</v>
      </c>
      <c r="B131" s="83" t="s">
        <v>416</v>
      </c>
      <c r="C131" s="83" t="s">
        <v>303</v>
      </c>
      <c r="F131" s="83"/>
    </row>
    <row r="132" customFormat="false" ht="12.8" hidden="false" customHeight="false" outlineLevel="0" collapsed="false">
      <c r="A132" s="83" t="s">
        <v>417</v>
      </c>
      <c r="B132" s="83" t="s">
        <v>418</v>
      </c>
      <c r="C132" s="83" t="s">
        <v>323</v>
      </c>
      <c r="F132" s="83"/>
    </row>
    <row r="133" customFormat="false" ht="12.8" hidden="false" customHeight="false" outlineLevel="0" collapsed="false">
      <c r="A133" s="83" t="s">
        <v>658</v>
      </c>
      <c r="B133" s="83" t="s">
        <v>419</v>
      </c>
      <c r="C133" s="83" t="s">
        <v>323</v>
      </c>
      <c r="F133" s="83"/>
    </row>
    <row r="134" customFormat="false" ht="12.8" hidden="false" customHeight="false" outlineLevel="0" collapsed="false">
      <c r="A134" s="83" t="s">
        <v>659</v>
      </c>
      <c r="B134" s="83" t="s">
        <v>420</v>
      </c>
      <c r="C134" s="83" t="s">
        <v>323</v>
      </c>
      <c r="F134" s="83"/>
    </row>
    <row r="135" customFormat="false" ht="12.8" hidden="false" customHeight="false" outlineLevel="0" collapsed="false">
      <c r="A135" s="83" t="s">
        <v>660</v>
      </c>
      <c r="B135" s="83" t="s">
        <v>421</v>
      </c>
      <c r="C135" s="83" t="s">
        <v>323</v>
      </c>
      <c r="F135" s="83"/>
    </row>
    <row r="136" customFormat="false" ht="12.8" hidden="false" customHeight="false" outlineLevel="0" collapsed="false">
      <c r="A136" s="83" t="s">
        <v>422</v>
      </c>
      <c r="B136" s="83" t="s">
        <v>423</v>
      </c>
      <c r="C136" s="83" t="s">
        <v>320</v>
      </c>
      <c r="F136" s="83"/>
    </row>
    <row r="137" customFormat="false" ht="12.8" hidden="false" customHeight="false" outlineLevel="0" collapsed="false">
      <c r="A137" s="83" t="s">
        <v>424</v>
      </c>
      <c r="B137" s="83" t="s">
        <v>425</v>
      </c>
      <c r="C137" s="83" t="s">
        <v>320</v>
      </c>
      <c r="F137" s="83"/>
    </row>
    <row r="138" customFormat="false" ht="12.8" hidden="false" customHeight="false" outlineLevel="0" collapsed="false">
      <c r="A138" s="83" t="s">
        <v>426</v>
      </c>
      <c r="B138" s="83" t="s">
        <v>427</v>
      </c>
      <c r="C138" s="83" t="s">
        <v>320</v>
      </c>
      <c r="F138" s="83"/>
    </row>
    <row r="139" customFormat="false" ht="12.8" hidden="false" customHeight="false" outlineLevel="0" collapsed="false">
      <c r="A139" s="83" t="s">
        <v>428</v>
      </c>
      <c r="B139" s="83" t="s">
        <v>429</v>
      </c>
      <c r="C139" s="83" t="s">
        <v>320</v>
      </c>
      <c r="F139" s="83"/>
    </row>
    <row r="140" customFormat="false" ht="12.8" hidden="false" customHeight="false" outlineLevel="0" collapsed="false">
      <c r="A140" s="83" t="s">
        <v>661</v>
      </c>
      <c r="B140" s="83" t="s">
        <v>430</v>
      </c>
      <c r="C140" s="83" t="s">
        <v>323</v>
      </c>
      <c r="F140" s="83"/>
    </row>
    <row r="141" customFormat="false" ht="12.8" hidden="false" customHeight="false" outlineLevel="0" collapsed="false">
      <c r="A141" s="83" t="s">
        <v>662</v>
      </c>
      <c r="B141" s="83" t="s">
        <v>431</v>
      </c>
      <c r="C141" s="83" t="s">
        <v>320</v>
      </c>
      <c r="F141" s="83"/>
    </row>
    <row r="142" customFormat="false" ht="12.8" hidden="false" customHeight="false" outlineLevel="0" collapsed="false">
      <c r="A142" s="83" t="s">
        <v>663</v>
      </c>
      <c r="B142" s="83" t="s">
        <v>433</v>
      </c>
      <c r="C142" s="83" t="s">
        <v>320</v>
      </c>
      <c r="F142" s="83"/>
    </row>
    <row r="143" customFormat="false" ht="12.8" hidden="false" customHeight="false" outlineLevel="0" collapsed="false">
      <c r="A143" s="83" t="s">
        <v>664</v>
      </c>
      <c r="B143" s="83" t="s">
        <v>435</v>
      </c>
      <c r="C143" s="83" t="s">
        <v>303</v>
      </c>
      <c r="F143" s="83"/>
    </row>
    <row r="144" customFormat="false" ht="12.8" hidden="false" customHeight="false" outlineLevel="0" collapsed="false">
      <c r="A144" s="83" t="s">
        <v>665</v>
      </c>
      <c r="B144" s="83" t="s">
        <v>437</v>
      </c>
      <c r="C144" s="83" t="s">
        <v>323</v>
      </c>
      <c r="F144" s="83"/>
    </row>
    <row r="145" customFormat="false" ht="12.8" hidden="false" customHeight="false" outlineLevel="0" collapsed="false">
      <c r="A145" s="83" t="s">
        <v>666</v>
      </c>
      <c r="B145" s="83" t="s">
        <v>439</v>
      </c>
      <c r="C145" s="83" t="s">
        <v>320</v>
      </c>
      <c r="F145" s="83"/>
    </row>
    <row r="146" customFormat="false" ht="12.8" hidden="false" customHeight="false" outlineLevel="0" collapsed="false">
      <c r="A146" s="83" t="s">
        <v>667</v>
      </c>
      <c r="B146" s="83" t="s">
        <v>440</v>
      </c>
      <c r="C146" s="83" t="s">
        <v>323</v>
      </c>
      <c r="F146" s="83"/>
    </row>
    <row r="147" customFormat="false" ht="12.8" hidden="false" customHeight="false" outlineLevel="0" collapsed="false">
      <c r="A147" s="83" t="s">
        <v>441</v>
      </c>
      <c r="B147" s="83" t="s">
        <v>442</v>
      </c>
      <c r="C147" s="83" t="s">
        <v>303</v>
      </c>
      <c r="F147" s="83"/>
    </row>
    <row r="148" customFormat="false" ht="12.8" hidden="false" customHeight="false" outlineLevel="0" collapsed="false">
      <c r="A148" s="83" t="s">
        <v>443</v>
      </c>
      <c r="B148" s="83" t="s">
        <v>444</v>
      </c>
      <c r="C148" s="83" t="s">
        <v>320</v>
      </c>
      <c r="F148" s="83"/>
    </row>
    <row r="149" customFormat="false" ht="12.8" hidden="false" customHeight="false" outlineLevel="0" collapsed="false">
      <c r="A149" s="83" t="s">
        <v>445</v>
      </c>
      <c r="B149" s="83" t="s">
        <v>446</v>
      </c>
      <c r="C149" s="83" t="s">
        <v>323</v>
      </c>
      <c r="F149" s="83"/>
    </row>
    <row r="150" customFormat="false" ht="12.8" hidden="false" customHeight="false" outlineLevel="0" collapsed="false">
      <c r="A150" s="83" t="s">
        <v>447</v>
      </c>
      <c r="B150" s="83" t="s">
        <v>448</v>
      </c>
      <c r="C150" s="83" t="s">
        <v>388</v>
      </c>
      <c r="F150" s="83"/>
    </row>
    <row r="151" customFormat="false" ht="12.8" hidden="false" customHeight="false" outlineLevel="0" collapsed="false">
      <c r="A151" s="83" t="s">
        <v>449</v>
      </c>
      <c r="B151" s="83" t="s">
        <v>449</v>
      </c>
      <c r="C151" s="83" t="s">
        <v>309</v>
      </c>
      <c r="F151" s="83"/>
    </row>
    <row r="152" customFormat="false" ht="12.8" hidden="false" customHeight="false" outlineLevel="0" collapsed="false">
      <c r="A152" s="83" t="s">
        <v>450</v>
      </c>
      <c r="B152" s="83" t="s">
        <v>451</v>
      </c>
      <c r="C152" s="83" t="s">
        <v>320</v>
      </c>
      <c r="F152" s="83"/>
    </row>
    <row r="153" customFormat="false" ht="12.8" hidden="false" customHeight="false" outlineLevel="0" collapsed="false">
      <c r="A153" s="83" t="s">
        <v>452</v>
      </c>
      <c r="B153" s="83" t="s">
        <v>453</v>
      </c>
      <c r="C153" s="83" t="s">
        <v>303</v>
      </c>
      <c r="F153" s="83"/>
    </row>
    <row r="154" customFormat="false" ht="12.8" hidden="false" customHeight="false" outlineLevel="0" collapsed="false">
      <c r="A154" s="83" t="s">
        <v>668</v>
      </c>
      <c r="B154" s="83" t="s">
        <v>454</v>
      </c>
      <c r="C154" s="83" t="s">
        <v>320</v>
      </c>
      <c r="F154" s="83"/>
    </row>
    <row r="155" customFormat="false" ht="12.8" hidden="false" customHeight="false" outlineLevel="0" collapsed="false">
      <c r="A155" s="83" t="s">
        <v>669</v>
      </c>
      <c r="B155" s="83" t="s">
        <v>456</v>
      </c>
      <c r="C155" s="83" t="s">
        <v>323</v>
      </c>
      <c r="F155" s="83"/>
    </row>
    <row r="156" customFormat="false" ht="12.8" hidden="false" customHeight="false" outlineLevel="0" collapsed="false">
      <c r="A156" s="83" t="s">
        <v>48</v>
      </c>
      <c r="B156" s="83" t="s">
        <v>457</v>
      </c>
      <c r="C156" s="83" t="s">
        <v>287</v>
      </c>
      <c r="F156" s="83"/>
    </row>
    <row r="157" customFormat="false" ht="12.8" hidden="false" customHeight="false" outlineLevel="0" collapsed="false">
      <c r="A157" s="83" t="s">
        <v>670</v>
      </c>
      <c r="B157" s="83" t="s">
        <v>458</v>
      </c>
      <c r="C157" s="83" t="s">
        <v>323</v>
      </c>
      <c r="F157" s="83"/>
    </row>
    <row r="158" customFormat="false" ht="12.8" hidden="false" customHeight="false" outlineLevel="0" collapsed="false">
      <c r="A158" s="83" t="s">
        <v>671</v>
      </c>
      <c r="B158" s="83" t="s">
        <v>459</v>
      </c>
      <c r="C158" s="83" t="s">
        <v>323</v>
      </c>
      <c r="F158" s="83"/>
    </row>
    <row r="159" customFormat="false" ht="12.8" hidden="false" customHeight="false" outlineLevel="0" collapsed="false">
      <c r="A159" s="83" t="s">
        <v>672</v>
      </c>
      <c r="B159" s="83" t="s">
        <v>460</v>
      </c>
      <c r="C159" s="83" t="s">
        <v>323</v>
      </c>
      <c r="F159" s="83"/>
    </row>
    <row r="160" customFormat="false" ht="12.8" hidden="false" customHeight="false" outlineLevel="0" collapsed="false">
      <c r="A160" s="83" t="s">
        <v>673</v>
      </c>
      <c r="B160" s="83" t="s">
        <v>462</v>
      </c>
      <c r="C160" s="83" t="s">
        <v>323</v>
      </c>
      <c r="F160" s="83"/>
    </row>
    <row r="161" customFormat="false" ht="12.8" hidden="false" customHeight="false" outlineLevel="0" collapsed="false">
      <c r="A161" s="83" t="s">
        <v>277</v>
      </c>
      <c r="B161" s="83" t="s">
        <v>463</v>
      </c>
      <c r="C161" s="83" t="s">
        <v>320</v>
      </c>
      <c r="F161" s="83"/>
    </row>
    <row r="162" customFormat="false" ht="12.8" hidden="false" customHeight="false" outlineLevel="0" collapsed="false">
      <c r="A162" s="83" t="s">
        <v>674</v>
      </c>
      <c r="B162" s="83" t="s">
        <v>464</v>
      </c>
      <c r="C162" s="83" t="s">
        <v>323</v>
      </c>
      <c r="F162" s="83"/>
    </row>
    <row r="163" customFormat="false" ht="12.8" hidden="false" customHeight="false" outlineLevel="0" collapsed="false">
      <c r="A163" s="83" t="s">
        <v>675</v>
      </c>
      <c r="B163" s="83" t="s">
        <v>465</v>
      </c>
      <c r="C163" s="83" t="s">
        <v>287</v>
      </c>
      <c r="F163" s="83"/>
    </row>
    <row r="164" customFormat="false" ht="12.8" hidden="false" customHeight="false" outlineLevel="0" collapsed="false">
      <c r="A164" s="83" t="s">
        <v>211</v>
      </c>
      <c r="B164" s="83" t="s">
        <v>466</v>
      </c>
      <c r="C164" s="83" t="s">
        <v>287</v>
      </c>
      <c r="F164" s="83"/>
    </row>
    <row r="165" customFormat="false" ht="12.8" hidden="false" customHeight="false" outlineLevel="0" collapsed="false">
      <c r="A165" s="83" t="s">
        <v>676</v>
      </c>
      <c r="B165" s="83" t="s">
        <v>467</v>
      </c>
      <c r="C165" s="83" t="s">
        <v>287</v>
      </c>
      <c r="F165" s="83"/>
    </row>
    <row r="166" customFormat="false" ht="12.8" hidden="false" customHeight="false" outlineLevel="0" collapsed="false">
      <c r="A166" s="83" t="s">
        <v>278</v>
      </c>
      <c r="B166" s="83" t="s">
        <v>468</v>
      </c>
      <c r="C166" s="83" t="s">
        <v>320</v>
      </c>
      <c r="F166" s="83"/>
    </row>
    <row r="167" customFormat="false" ht="12.8" hidden="false" customHeight="false" outlineLevel="0" collapsed="false">
      <c r="A167" s="83" t="s">
        <v>258</v>
      </c>
      <c r="B167" s="83" t="s">
        <v>469</v>
      </c>
      <c r="C167" s="83" t="s">
        <v>303</v>
      </c>
      <c r="F167" s="83"/>
    </row>
    <row r="168" customFormat="false" ht="12.8" hidden="false" customHeight="false" outlineLevel="0" collapsed="false">
      <c r="A168" s="83" t="s">
        <v>470</v>
      </c>
      <c r="B168" s="83" t="s">
        <v>471</v>
      </c>
      <c r="C168" s="83" t="s">
        <v>320</v>
      </c>
      <c r="F168" s="8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14197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2025-11-07T23:00:07Z</dcterms:created>
  <dc:creator/>
  <dc:description/>
  <dc:language>sv-SE</dc:language>
  <cp:lastModifiedBy/>
  <dcterms:modified xsi:type="dcterms:W3CDTF">2025-11-26T22:27:50Z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