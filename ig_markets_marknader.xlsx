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lad1" sheetId="1" state="visible" r:id="rId3"/>
    <sheet name="Blad2" sheetId="2" state="visible" r:id="rId4"/>
    <sheet name="Norgate tickers" sheetId="3" state="visible" r:id="rId5"/>
  </sheets>
  <calcPr iterateCount="100" refMode="A1" iterate="tru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<sst xmlns="http://schemas.openxmlformats.org/spreadsheetml/2006/main" count="458" uniqueCount="335">
  <si>
    <t xml:space="preserve">Namn</t>
  </si>
  <si>
    <t xml:space="preserve">Product</t>
  </si>
  <si>
    <t xml:space="preserve">Asset class</t>
  </si>
  <si>
    <t xml:space="preserve">FX</t>
  </si>
  <si>
    <t xml:space="preserve">Minimum contract</t>
  </si>
  <si>
    <t xml:space="preserve">Current Price</t>
  </si>
  <si>
    <t xml:space="preserve">Multiplier</t>
  </si>
  <si>
    <t xml:space="preserve">Minimum Exposure</t>
  </si>
  <si>
    <t xml:space="preserve">Instrument risk</t>
  </si>
  <si>
    <t xml:space="preserve">Target risk</t>
  </si>
  <si>
    <t xml:space="preserve">Minimum Capital</t>
  </si>
  <si>
    <t xml:space="preserve">Minimum Capital 4 contracts</t>
  </si>
  <si>
    <t xml:space="preserve">Margin </t>
  </si>
  <si>
    <t xml:space="preserve">Minimum margin</t>
  </si>
  <si>
    <t xml:space="preserve">Sälj</t>
  </si>
  <si>
    <t xml:space="preserve">Köp</t>
  </si>
  <si>
    <t xml:space="preserve">Spread</t>
  </si>
  <si>
    <t xml:space="preserve">Spread cost</t>
  </si>
  <si>
    <t xml:space="preserve">Holding cost</t>
  </si>
  <si>
    <t xml:space="preserve">Risk Adjusted Cost</t>
  </si>
  <si>
    <t xml:space="preserve">USA Tech100</t>
  </si>
  <si>
    <t xml:space="preserve">Future</t>
  </si>
  <si>
    <t xml:space="preserve">Equity Index</t>
  </si>
  <si>
    <t xml:space="preserve">Cash</t>
  </si>
  <si>
    <t xml:space="preserve">Tyskland 40</t>
  </si>
  <si>
    <t xml:space="preserve">USA500</t>
  </si>
  <si>
    <t xml:space="preserve">Sverige30</t>
  </si>
  <si>
    <t xml:space="preserve">Wall Street</t>
  </si>
  <si>
    <t xml:space="preserve">Japan 225</t>
  </si>
  <si>
    <t xml:space="preserve">FTSE 100</t>
  </si>
  <si>
    <t xml:space="preserve">USA Russell 2000</t>
  </si>
  <si>
    <t xml:space="preserve">Frankrike40</t>
  </si>
  <si>
    <t xml:space="preserve">Hong Kong HS50</t>
  </si>
  <si>
    <t xml:space="preserve">AI Index</t>
  </si>
  <si>
    <t xml:space="preserve">EU Volatility Index</t>
  </si>
  <si>
    <t xml:space="preserve">Volatilitetsindex</t>
  </si>
  <si>
    <t xml:space="preserve">Taiwan Index</t>
  </si>
  <si>
    <t xml:space="preserve">EU Stocks50</t>
  </si>
  <si>
    <t xml:space="preserve">Hong Kong Tech Index</t>
  </si>
  <si>
    <t xml:space="preserve">Italien40</t>
  </si>
  <si>
    <t xml:space="preserve">Euro Stoxx Banks Index</t>
  </si>
  <si>
    <t xml:space="preserve">Australien200</t>
  </si>
  <si>
    <t xml:space="preserve">Nederländerna25</t>
  </si>
  <si>
    <t xml:space="preserve">Sydafrika40</t>
  </si>
  <si>
    <t xml:space="preserve">US Fang</t>
  </si>
  <si>
    <t xml:space="preserve">European Defence Index</t>
  </si>
  <si>
    <t xml:space="preserve">Spain 35</t>
  </si>
  <si>
    <t xml:space="preserve">Kina A50</t>
  </si>
  <si>
    <t xml:space="preserve">Switzerland Blue Chip</t>
  </si>
  <si>
    <t xml:space="preserve">Emerging Markets Index</t>
  </si>
  <si>
    <t xml:space="preserve">Norway 20</t>
  </si>
  <si>
    <t xml:space="preserve">Tokyo First Section</t>
  </si>
  <si>
    <t xml:space="preserve">Singapore Blue Chip</t>
  </si>
  <si>
    <t xml:space="preserve">Norway 25</t>
  </si>
  <si>
    <t xml:space="preserve">Australia 200 Energy</t>
  </si>
  <si>
    <t xml:space="preserve">Australia 200 Utilities</t>
  </si>
  <si>
    <t xml:space="preserve">Cannabis Index</t>
  </si>
  <si>
    <t xml:space="preserve">China H-shares</t>
  </si>
  <si>
    <t xml:space="preserve">EU Stocks 600</t>
  </si>
  <si>
    <t xml:space="preserve">FTSE 350 Banks</t>
  </si>
  <si>
    <t xml:space="preserve">FTSE 350 Chemicals</t>
  </si>
  <si>
    <t xml:space="preserve">FTSE 350 Equity Investment Instruments</t>
  </si>
  <si>
    <t xml:space="preserve">FTSE 350 Food and Drug Retailers</t>
  </si>
  <si>
    <t xml:space="preserve">FTSE 350 Mining</t>
  </si>
  <si>
    <t xml:space="preserve">FTSE 350 Oil and Gas Producers</t>
  </si>
  <si>
    <t xml:space="preserve">FTSE 350 Real Estate Investment Trusts</t>
  </si>
  <si>
    <t xml:space="preserve">FTSE 350 Travel and Leisure</t>
  </si>
  <si>
    <t xml:space="preserve">FTSE Mid 250</t>
  </si>
  <si>
    <t xml:space="preserve">Tyskland Mid-Cap50</t>
  </si>
  <si>
    <t xml:space="preserve">Tyskland Tech30</t>
  </si>
  <si>
    <t xml:space="preserve">EUR/USD</t>
  </si>
  <si>
    <t xml:space="preserve">USD/JPY</t>
  </si>
  <si>
    <t xml:space="preserve">GBP/USD</t>
  </si>
  <si>
    <t xml:space="preserve">AUD/USD</t>
  </si>
  <si>
    <t xml:space="preserve">EUR/CHF</t>
  </si>
  <si>
    <t xml:space="preserve">EUR/GBP</t>
  </si>
  <si>
    <t xml:space="preserve">EUR/JPY</t>
  </si>
  <si>
    <t xml:space="preserve">USD/CAD</t>
  </si>
  <si>
    <t xml:space="preserve">USD/CHF</t>
  </si>
  <si>
    <t xml:space="preserve">US Dollarkorg</t>
  </si>
  <si>
    <t xml:space="preserve">GBP/EUR</t>
  </si>
  <si>
    <t xml:space="preserve">GBP/JPY</t>
  </si>
  <si>
    <t xml:space="preserve">GBP/CHF</t>
  </si>
  <si>
    <t xml:space="preserve">CHF/JPY</t>
  </si>
  <si>
    <t xml:space="preserve">GBP/CAD</t>
  </si>
  <si>
    <t xml:space="preserve">EUR/CAD</t>
  </si>
  <si>
    <t xml:space="preserve">CAD/CHF</t>
  </si>
  <si>
    <t xml:space="preserve">GBP/SGD</t>
  </si>
  <si>
    <t xml:space="preserve">CAD/JPY</t>
  </si>
  <si>
    <t xml:space="preserve">EUR/SGD</t>
  </si>
  <si>
    <t xml:space="preserve">EUR/ZAR</t>
  </si>
  <si>
    <t xml:space="preserve">GBP/ZAR</t>
  </si>
  <si>
    <t xml:space="preserve">INR/JPY</t>
  </si>
  <si>
    <t xml:space="preserve">SGD/JPY</t>
  </si>
  <si>
    <t xml:space="preserve">USD/HKD</t>
  </si>
  <si>
    <t xml:space="preserve">USD/SGD</t>
  </si>
  <si>
    <t xml:space="preserve">USD/ZAR</t>
  </si>
  <si>
    <t xml:space="preserve">ZAR/JPY</t>
  </si>
  <si>
    <t xml:space="preserve">GBP/AUD</t>
  </si>
  <si>
    <t xml:space="preserve">AUD/CHF</t>
  </si>
  <si>
    <t xml:space="preserve">EUR/AUD</t>
  </si>
  <si>
    <t xml:space="preserve">AUD/JPY</t>
  </si>
  <si>
    <t xml:space="preserve">AUD/NZD</t>
  </si>
  <si>
    <t xml:space="preserve">NZD/USD</t>
  </si>
  <si>
    <t xml:space="preserve">EUR/NZD</t>
  </si>
  <si>
    <t xml:space="preserve">NZD/CHF</t>
  </si>
  <si>
    <t xml:space="preserve">NZD/CAD</t>
  </si>
  <si>
    <t xml:space="preserve">NZD/JPY</t>
  </si>
  <si>
    <t xml:space="preserve">AUD/CAD</t>
  </si>
  <si>
    <t xml:space="preserve">GBP/NZD</t>
  </si>
  <si>
    <t xml:space="preserve">AUD/EUR</t>
  </si>
  <si>
    <t xml:space="preserve">AUD/GBP</t>
  </si>
  <si>
    <t xml:space="preserve">AUD/SGD</t>
  </si>
  <si>
    <t xml:space="preserve">NZD/AUD</t>
  </si>
  <si>
    <t xml:space="preserve">NZD/EUR</t>
  </si>
  <si>
    <t xml:space="preserve">NZD/GBP</t>
  </si>
  <si>
    <t xml:space="preserve">EUR/SEK</t>
  </si>
  <si>
    <t xml:space="preserve">USD/SEK</t>
  </si>
  <si>
    <t xml:space="preserve">SEK/JPY</t>
  </si>
  <si>
    <t xml:space="preserve">USD/NOK</t>
  </si>
  <si>
    <t xml:space="preserve">NOK/SEK</t>
  </si>
  <si>
    <t xml:space="preserve">NOK/JPY</t>
  </si>
  <si>
    <t xml:space="preserve">GBP/SEK</t>
  </si>
  <si>
    <t xml:space="preserve">GBP/DKK</t>
  </si>
  <si>
    <t xml:space="preserve">CAD/NOK</t>
  </si>
  <si>
    <t xml:space="preserve">CHF/NOK</t>
  </si>
  <si>
    <t xml:space="preserve">EUR/DKK</t>
  </si>
  <si>
    <t xml:space="preserve">EUR/NOK</t>
  </si>
  <si>
    <t xml:space="preserve">GBP/NOK</t>
  </si>
  <si>
    <t xml:space="preserve">USD/DKK</t>
  </si>
  <si>
    <t xml:space="preserve">MXN/JPY</t>
  </si>
  <si>
    <t xml:space="preserve">EUR/PLN</t>
  </si>
  <si>
    <t xml:space="preserve">TRY/JPY</t>
  </si>
  <si>
    <t xml:space="preserve">CHF/HUF</t>
  </si>
  <si>
    <t xml:space="preserve">EUR/CZK</t>
  </si>
  <si>
    <t xml:space="preserve">EUR/HUF</t>
  </si>
  <si>
    <t xml:space="preserve">EUR/ILS</t>
  </si>
  <si>
    <t xml:space="preserve">EUR/MXN</t>
  </si>
  <si>
    <t xml:space="preserve">EUR/TRY</t>
  </si>
  <si>
    <t xml:space="preserve">GBP/CZK</t>
  </si>
  <si>
    <t xml:space="preserve">GBP/HUF</t>
  </si>
  <si>
    <t xml:space="preserve">GBP/ILS</t>
  </si>
  <si>
    <t xml:space="preserve">GBP/MXN</t>
  </si>
  <si>
    <t xml:space="preserve">GBP/PLN</t>
  </si>
  <si>
    <t xml:space="preserve">GBP/TRY</t>
  </si>
  <si>
    <t xml:space="preserve">PLN/JPY</t>
  </si>
  <si>
    <t xml:space="preserve">USD/CZK</t>
  </si>
  <si>
    <t xml:space="preserve">USD/HUF</t>
  </si>
  <si>
    <t xml:space="preserve">USD/ILS</t>
  </si>
  <si>
    <t xml:space="preserve">USD/MXN</t>
  </si>
  <si>
    <t xml:space="preserve">USD/PLN</t>
  </si>
  <si>
    <t xml:space="preserve">USD/TRY</t>
  </si>
  <si>
    <t xml:space="preserve">CAD/CNH</t>
  </si>
  <si>
    <t xml:space="preserve">NZD/CNH</t>
  </si>
  <si>
    <t xml:space="preserve">AUD/CNH</t>
  </si>
  <si>
    <t xml:space="preserve">BRL/JPY</t>
  </si>
  <si>
    <t xml:space="preserve">CNH/JPY</t>
  </si>
  <si>
    <t xml:space="preserve">EUR/CNH</t>
  </si>
  <si>
    <t xml:space="preserve">GBP/CNH</t>
  </si>
  <si>
    <t xml:space="preserve">GBP/INR</t>
  </si>
  <si>
    <t xml:space="preserve">USD/BRL</t>
  </si>
  <si>
    <t xml:space="preserve">USD/CNH</t>
  </si>
  <si>
    <t xml:space="preserve">USD/IDR</t>
  </si>
  <si>
    <t xml:space="preserve">USD/INR</t>
  </si>
  <si>
    <t xml:space="preserve">USD/KRW</t>
  </si>
  <si>
    <t xml:space="preserve">USD/PHP</t>
  </si>
  <si>
    <t xml:space="preserve">USD/THB</t>
  </si>
  <si>
    <t xml:space="preserve">USD/TWD</t>
  </si>
  <si>
    <t xml:space="preserve">Ether</t>
  </si>
  <si>
    <t xml:space="preserve">Solana</t>
  </si>
  <si>
    <t xml:space="preserve">Dogecoin</t>
  </si>
  <si>
    <t xml:space="preserve">Avalanche</t>
  </si>
  <si>
    <t xml:space="preserve">Cardano</t>
  </si>
  <si>
    <t xml:space="preserve">Polkadot</t>
  </si>
  <si>
    <t xml:space="preserve">Litecoin</t>
  </si>
  <si>
    <t xml:space="preserve">Bitcoin Cash</t>
  </si>
  <si>
    <t xml:space="preserve">Bitcoin Cash/Bitcoin</t>
  </si>
  <si>
    <t xml:space="preserve">Ripple</t>
  </si>
  <si>
    <t xml:space="preserve">Chainlink</t>
  </si>
  <si>
    <t xml:space="preserve">Crypto 10 Index</t>
  </si>
  <si>
    <t xml:space="preserve">Ether/Bitcoin</t>
  </si>
  <si>
    <t xml:space="preserve">Uniswap</t>
  </si>
  <si>
    <t xml:space="preserve">Stellar</t>
  </si>
  <si>
    <t xml:space="preserve">EOS</t>
  </si>
  <si>
    <t xml:space="preserve">NEO</t>
  </si>
  <si>
    <t xml:space="preserve">Naturgas</t>
  </si>
  <si>
    <t xml:space="preserve">Olja - US Crude</t>
  </si>
  <si>
    <t xml:space="preserve">Olja - Brent Crude</t>
  </si>
  <si>
    <t xml:space="preserve">Utsläppsrättigheter - koldioxid</t>
  </si>
  <si>
    <t xml:space="preserve">Natural Gas - UK</t>
  </si>
  <si>
    <t xml:space="preserve">Eldningsolja</t>
  </si>
  <si>
    <t xml:space="preserve">Gasoline</t>
  </si>
  <si>
    <t xml:space="preserve">London Gasolja</t>
  </si>
  <si>
    <t xml:space="preserve">Guld</t>
  </si>
  <si>
    <t xml:space="preserve">Silver</t>
  </si>
  <si>
    <t xml:space="preserve">Palladium</t>
  </si>
  <si>
    <t xml:space="preserve">Platina</t>
  </si>
  <si>
    <t xml:space="preserve">Aluminium</t>
  </si>
  <si>
    <t xml:space="preserve">Högklassig Koppar</t>
  </si>
  <si>
    <t xml:space="preserve">Koppar</t>
  </si>
  <si>
    <t xml:space="preserve">Zink</t>
  </si>
  <si>
    <t xml:space="preserve">Iron Ore</t>
  </si>
  <si>
    <t xml:space="preserve">Lead</t>
  </si>
  <si>
    <t xml:space="preserve">Nickel</t>
  </si>
  <si>
    <t xml:space="preserve">Coffee - London (Robusta)</t>
  </si>
  <si>
    <t xml:space="preserve">Wheat - Chicago</t>
  </si>
  <si>
    <t xml:space="preserve">Cocoa - London</t>
  </si>
  <si>
    <t xml:space="preserve">Sugar - London No. 5</t>
  </si>
  <si>
    <t xml:space="preserve">Cocoa - New York</t>
  </si>
  <si>
    <t xml:space="preserve">Majs</t>
  </si>
  <si>
    <t xml:space="preserve">Råris</t>
  </si>
  <si>
    <t xml:space="preserve">Coffee - New York (Arabica)</t>
  </si>
  <si>
    <t xml:space="preserve">Soybeans</t>
  </si>
  <si>
    <t xml:space="preserve">Cotton</t>
  </si>
  <si>
    <t xml:space="preserve">Havre</t>
  </si>
  <si>
    <t xml:space="preserve">Lean Hogs</t>
  </si>
  <si>
    <t xml:space="preserve">Live Cattle</t>
  </si>
  <si>
    <t xml:space="preserve">Lumber</t>
  </si>
  <si>
    <t xml:space="preserve">Orange Juice</t>
  </si>
  <si>
    <t xml:space="preserve">Soybean Meal</t>
  </si>
  <si>
    <t xml:space="preserve">Soybean Oil</t>
  </si>
  <si>
    <t xml:space="preserve">Sugar - New York No. 11</t>
  </si>
  <si>
    <t xml:space="preserve">Wheat - London</t>
  </si>
  <si>
    <t xml:space="preserve">French OAT</t>
  </si>
  <si>
    <t xml:space="preserve">German Bobl</t>
  </si>
  <si>
    <t xml:space="preserve">German Bund</t>
  </si>
  <si>
    <t xml:space="preserve">German Buxl</t>
  </si>
  <si>
    <t xml:space="preserve">German Schatz</t>
  </si>
  <si>
    <t xml:space="preserve">Italian BTP</t>
  </si>
  <si>
    <t xml:space="preserve">Italian BTS</t>
  </si>
  <si>
    <t xml:space="preserve">Japansk Statsobligation</t>
  </si>
  <si>
    <t xml:space="preserve">UK Long Gilt</t>
  </si>
  <si>
    <t xml:space="preserve">US 10-Year T-Note</t>
  </si>
  <si>
    <t xml:space="preserve">US 2-Year T-Note</t>
  </si>
  <si>
    <t xml:space="preserve">US 5-Year T-Note</t>
  </si>
  <si>
    <t xml:space="preserve">US Treasury Bond</t>
  </si>
  <si>
    <t xml:space="preserve">US Ultra Treasury Bond</t>
  </si>
  <si>
    <t xml:space="preserve">3-Month SOFR</t>
  </si>
  <si>
    <t xml:space="preserve">3-Month SONIA</t>
  </si>
  <si>
    <t xml:space="preserve">Australiskt 30-Dagars Interbankkurs</t>
  </si>
  <si>
    <t xml:space="preserve">Euribor</t>
  </si>
  <si>
    <t xml:space="preserve">US 30-Day Fed Funds Rate</t>
  </si>
  <si>
    <t xml:space="preserve">Australian Dollar</t>
  </si>
  <si>
    <t xml:space="preserve">British Pound</t>
  </si>
  <si>
    <t xml:space="preserve">Canadian Dollar</t>
  </si>
  <si>
    <t xml:space="preserve">Euro FX</t>
  </si>
  <si>
    <t xml:space="preserve">Japanese Yen</t>
  </si>
  <si>
    <t xml:space="preserve">Mexican Peso</t>
  </si>
  <si>
    <t xml:space="preserve">New Zealand Dollar</t>
  </si>
  <si>
    <t xml:space="preserve">Swiss Franc</t>
  </si>
  <si>
    <t xml:space="preserve">Feeder Cattle</t>
  </si>
  <si>
    <t xml:space="preserve">S&amp;P GSCI</t>
  </si>
  <si>
    <t xml:space="preserve">Class III Milk</t>
  </si>
  <si>
    <t xml:space="preserve">Corn</t>
  </si>
  <si>
    <t xml:space="preserve">Rough Rice</t>
  </si>
  <si>
    <t xml:space="preserve">10-Year U.S. T-Note</t>
  </si>
  <si>
    <t xml:space="preserve">E-mini Dow ($5)</t>
  </si>
  <si>
    <t xml:space="preserve">EURO STOXX 50</t>
  </si>
  <si>
    <t xml:space="preserve">KOSPI 200</t>
  </si>
  <si>
    <t xml:space="preserve">E-mini S&amp;P 500</t>
  </si>
  <si>
    <t xml:space="preserve">E-mini Nasdaq-100</t>
  </si>
  <si>
    <t xml:space="preserve">KC HRW Wheat</t>
  </si>
  <si>
    <t xml:space="preserve">TecDAX</t>
  </si>
  <si>
    <t xml:space="preserve">Swiss Market Index</t>
  </si>
  <si>
    <t xml:space="preserve">E-mini S&amp;P MidCap 400</t>
  </si>
  <si>
    <t xml:space="preserve">Nikkei 225 Dollar</t>
  </si>
  <si>
    <t xml:space="preserve">5-Year U.S. T-Note</t>
  </si>
  <si>
    <t xml:space="preserve">U.S. T-Bond</t>
  </si>
  <si>
    <t xml:space="preserve">2-Year U.S. T-Note</t>
  </si>
  <si>
    <t xml:space="preserve">Oats</t>
  </si>
  <si>
    <t xml:space="preserve">Chicago SRW Wheat</t>
  </si>
  <si>
    <t xml:space="preserve">Soybean</t>
  </si>
  <si>
    <t xml:space="preserve">DAX</t>
  </si>
  <si>
    <t xml:space="preserve">Euro-Bund</t>
  </si>
  <si>
    <t xml:space="preserve">Euro-Schatz</t>
  </si>
  <si>
    <t xml:space="preserve">Euro-Bobl</t>
  </si>
  <si>
    <t xml:space="preserve">Euro-Buxl</t>
  </si>
  <si>
    <t xml:space="preserve">Long Gilt</t>
  </si>
  <si>
    <t xml:space="preserve">CAC 40</t>
  </si>
  <si>
    <t xml:space="preserve">London Cocoa</t>
  </si>
  <si>
    <t xml:space="preserve">White Sugar</t>
  </si>
  <si>
    <t xml:space="preserve">Feed Wheat</t>
  </si>
  <si>
    <t xml:space="preserve">Cocoa</t>
  </si>
  <si>
    <t xml:space="preserve">Coffee C</t>
  </si>
  <si>
    <t xml:space="preserve">Sugar No. 11</t>
  </si>
  <si>
    <t xml:space="preserve">Frozen Concentrated Orange Juice Grade A</t>
  </si>
  <si>
    <t xml:space="preserve">Cotton No. 2</t>
  </si>
  <si>
    <t xml:space="preserve">US Dollar Index</t>
  </si>
  <si>
    <t xml:space="preserve">Crude Oil</t>
  </si>
  <si>
    <t xml:space="preserve">NY Harbor ULSD</t>
  </si>
  <si>
    <t xml:space="preserve">RBOB Gasoline</t>
  </si>
  <si>
    <t xml:space="preserve">Henry Hub Natural Gas</t>
  </si>
  <si>
    <t xml:space="preserve">Platinum</t>
  </si>
  <si>
    <t xml:space="preserve">Gold</t>
  </si>
  <si>
    <t xml:space="preserve">Copper</t>
  </si>
  <si>
    <t xml:space="preserve">Brent Crude Oil</t>
  </si>
  <si>
    <t xml:space="preserve">WTI Crude Oil</t>
  </si>
  <si>
    <t xml:space="preserve">Low Sulphur Gasoil</t>
  </si>
  <si>
    <t xml:space="preserve">10-Year Govt. of Canada Bond</t>
  </si>
  <si>
    <t xml:space="preserve">S&amp;P/TSX 60 Index</t>
  </si>
  <si>
    <t xml:space="preserve">Canola</t>
  </si>
  <si>
    <t xml:space="preserve">Hard Red Spring Wheat</t>
  </si>
  <si>
    <t xml:space="preserve">Hang Seng Index</t>
  </si>
  <si>
    <t xml:space="preserve">Hang Seng Index - Mini</t>
  </si>
  <si>
    <t xml:space="preserve">Nikkei 225 (SGX)</t>
  </si>
  <si>
    <t xml:space="preserve">MSCI Singapore Index</t>
  </si>
  <si>
    <t xml:space="preserve">Japanese Govt Bond - Mini</t>
  </si>
  <si>
    <t xml:space="preserve">ASX 90 Day Bank Accepted Bills</t>
  </si>
  <si>
    <t xml:space="preserve">ASX 3 Year Treasury Bond</t>
  </si>
  <si>
    <t xml:space="preserve">ASX 10 Year Treasury Bond</t>
  </si>
  <si>
    <t xml:space="preserve">ASX SPI 200</t>
  </si>
  <si>
    <t xml:space="preserve">30 Day Federal Funds</t>
  </si>
  <si>
    <t xml:space="preserve">ASX 30 Day Interbank Cash Rate</t>
  </si>
  <si>
    <t xml:space="preserve">Robusta Coffee 10 Tonne</t>
  </si>
  <si>
    <t xml:space="preserve">CBOE Volatility Index</t>
  </si>
  <si>
    <t xml:space="preserve">Ultra U.S. T-Bond</t>
  </si>
  <si>
    <t xml:space="preserve">Nikkei 225 Yen</t>
  </si>
  <si>
    <t xml:space="preserve">Eastern Australia Feed Barley</t>
  </si>
  <si>
    <t xml:space="preserve">Euro-BTP Long-Term</t>
  </si>
  <si>
    <t xml:space="preserve">FTSE China A50 Index</t>
  </si>
  <si>
    <t xml:space="preserve">UK Natural Gas</t>
  </si>
  <si>
    <t xml:space="preserve">EUA</t>
  </si>
  <si>
    <t xml:space="preserve">Euro-OAT</t>
  </si>
  <si>
    <t xml:space="preserve">Eastern Australia Wheat</t>
  </si>
  <si>
    <t xml:space="preserve">Ultra 10-Year U.S. T-Note</t>
  </si>
  <si>
    <t xml:space="preserve">E-mini Russell 2000</t>
  </si>
  <si>
    <t xml:space="preserve">Bitcoin</t>
  </si>
  <si>
    <t xml:space="preserve">Micro E-mini S&amp;P 500</t>
  </si>
  <si>
    <t xml:space="preserve">Micro E-mini Nasdaq-100</t>
  </si>
  <si>
    <t xml:space="preserve">Micro E-mini Russell 2000</t>
  </si>
  <si>
    <t xml:space="preserve">Micro E-mini Dow Jones Industrial Average</t>
  </si>
  <si>
    <t xml:space="preserve">MSCI Taiwan Index</t>
  </si>
  <si>
    <t xml:space="preserve">Micro Bitcoin</t>
  </si>
  <si>
    <t xml:space="preserve">Micro Ether</t>
  </si>
  <si>
    <t xml:space="preserve">Three-Month CORRA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</si>
</sst>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$-409]#,##0.00;[RED]\-[$$-409]#,##0.00"/>
    <numFmt numFmtId="166" formatCode="[$$-409]#,##0;[RED]\-[$$-409]#,##0"/>
    <numFmt numFmtId="167" formatCode="[$-41D]0.00\ %"/>
    <numFmt numFmtId="168" formatCode="0.00\ %"/>
    <numFmt numFmtId="169" formatCode="General"/>
    <numFmt numFmtId="170" formatCode="[$$-409]#,##0.0;[RED]\-[$$-409]#,##0.0"/>
    <numFmt numFmtId="171" formatCode="#,##0.00\ [$€-81D];[RED]\-#,##0.00\ [$€-81D]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11.53515625" defaultRowHeight="12.8" zeroHeight="false" outlineLevelRow="0" outlineLevelCol="0"/>
  <cols>
    <col collapsed="false" customWidth="false" hidden="false" outlineLevel="0" max="3" min="1" style="1" width="11.53"/>
    <col collapsed="false" customWidth="true" hidden="false" outlineLevel="0" max="4" min="4" style="1" width="4.91"/>
    <col collapsed="false" customWidth="true" hidden="false" outlineLevel="0" max="5" min="5" style="1" width="12.1"/>
    <col collapsed="false" customWidth="false" hidden="false" outlineLevel="0" max="6" min="6" style="2" width="11.53"/>
    <col collapsed="false" customWidth="false" hidden="false" outlineLevel="0" max="8" min="7" style="3" width="11.53"/>
    <col collapsed="false" customWidth="false" hidden="false" outlineLevel="0" max="10" min="9" style="1" width="11.53"/>
    <col collapsed="false" customWidth="true" hidden="false" outlineLevel="0" max="11" min="11" style="3" width="9.18"/>
    <col collapsed="false" customWidth="true" hidden="false" outlineLevel="0" max="12" min="12" style="3" width="10.71"/>
    <col collapsed="false" customWidth="false" hidden="false" outlineLevel="0" max="13" min="13" style="4" width="11.53"/>
    <col collapsed="false" customWidth="false" hidden="false" outlineLevel="0" max="14" min="14" style="3" width="11.53"/>
    <col collapsed="false" customWidth="true" hidden="false" outlineLevel="0" max="16" min="15" style="1" width="7.83"/>
    <col collapsed="false" customWidth="true" hidden="false" outlineLevel="0" max="17" min="17" style="1" width="8.34"/>
    <col collapsed="false" customWidth="false" hidden="false" outlineLevel="0" max="18" min="18" style="5" width="11.53"/>
    <col collapsed="false" customWidth="false" hidden="false" outlineLevel="0" max="19" min="19" style="5" width="11.58"/>
    <col collapsed="false" customWidth="true" hidden="false" outlineLevel="0" max="20" min="20" style="1" width="18.54"/>
    <col collapsed="false" customWidth="false" hidden="false" outlineLevel="0" max="16384" min="21" style="1" width="11.53"/>
  </cols>
  <sheetData>
    <row r="1" customFormat="false" ht="35.05" hidden="false" customHeight="fals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8" t="s">
        <v>10</v>
      </c>
      <c r="L1" s="8" t="s">
        <v>11</v>
      </c>
      <c r="M1" s="9" t="s">
        <v>12</v>
      </c>
      <c r="N1" s="8" t="s">
        <v>13</v>
      </c>
      <c r="O1" s="6" t="s">
        <v>14</v>
      </c>
      <c r="P1" s="6" t="s">
        <v>15</v>
      </c>
      <c r="Q1" s="6" t="s">
        <v>16</v>
      </c>
      <c r="R1" s="10" t="s">
        <v>17</v>
      </c>
      <c r="S1" s="5" t="s">
        <v>18</v>
      </c>
      <c r="T1" s="6" t="s">
        <v>19</v>
      </c>
    </row>
    <row r="2" customFormat="false" ht="12.8" hidden="false" customHeight="false" outlineLevel="0" collapsed="false">
      <c r="A2" s="11" t="s">
        <v>20</v>
      </c>
      <c r="B2" s="11" t="s">
        <v>21</v>
      </c>
      <c r="C2" s="11" t="s">
        <v>22</v>
      </c>
      <c r="D2" s="11" t="n">
        <v>1</v>
      </c>
      <c r="E2" s="11" t="n">
        <v>0.2</v>
      </c>
      <c r="F2" s="12" t="n">
        <v>25232</v>
      </c>
      <c r="G2" s="13" t="n">
        <v>100</v>
      </c>
      <c r="H2" s="13" t="n">
        <f aca="false">E2*F2*G2</f>
        <v>504640</v>
      </c>
      <c r="I2" s="14" t="n">
        <f aca="false">(449*14)/F2</f>
        <v>0.249128091312619</v>
      </c>
      <c r="J2" s="14" t="n">
        <v>0.6</v>
      </c>
      <c r="K2" s="13" t="n">
        <f aca="false">(H2*I2)/J2*D2</f>
        <v>209533.333333333</v>
      </c>
      <c r="L2" s="13" t="n">
        <f aca="false">K2*4</f>
        <v>838133.333333334</v>
      </c>
      <c r="M2" s="15" t="n">
        <v>0.05</v>
      </c>
      <c r="N2" s="13" t="n">
        <f aca="false">M2*L2</f>
        <v>41906.6666666667</v>
      </c>
      <c r="O2" s="11" t="n">
        <v>25232</v>
      </c>
      <c r="P2" s="11" t="n">
        <v>25225.2</v>
      </c>
      <c r="Q2" s="11" t="n">
        <f aca="false">ABS(O2-P2)</f>
        <v>6.79999999999927</v>
      </c>
      <c r="R2" s="16" t="n">
        <f aca="false">((Q2*G2)/2)/F2</f>
        <v>0.0134749524413429</v>
      </c>
      <c r="S2" s="5" t="n">
        <v>0</v>
      </c>
      <c r="T2" s="17" t="n">
        <f aca="false">R2/I2</f>
        <v>0.0540884505249704</v>
      </c>
    </row>
    <row r="3" customFormat="false" ht="12.8" hidden="false" customHeight="false" outlineLevel="0" collapsed="false">
      <c r="A3" s="11" t="s">
        <v>20</v>
      </c>
      <c r="B3" s="11" t="s">
        <v>21</v>
      </c>
      <c r="C3" s="11" t="s">
        <v>22</v>
      </c>
      <c r="D3" s="11" t="n">
        <v>1</v>
      </c>
      <c r="E3" s="11" t="n">
        <v>0.05</v>
      </c>
      <c r="F3" s="12" t="n">
        <v>25232</v>
      </c>
      <c r="G3" s="13" t="n">
        <v>20</v>
      </c>
      <c r="H3" s="13" t="n">
        <f aca="false">E3*F3*G3</f>
        <v>25232</v>
      </c>
      <c r="I3" s="14" t="n">
        <f aca="false">(449*14)/F3</f>
        <v>0.249128091312619</v>
      </c>
      <c r="J3" s="14" t="n">
        <f aca="false">J2</f>
        <v>0.6</v>
      </c>
      <c r="K3" s="13" t="n">
        <f aca="false">(H3*I3)/J3*D3</f>
        <v>10476.6666666667</v>
      </c>
      <c r="L3" s="13" t="n">
        <f aca="false">K3*4</f>
        <v>41906.6666666667</v>
      </c>
      <c r="M3" s="15" t="n">
        <v>0.05</v>
      </c>
      <c r="N3" s="13" t="n">
        <f aca="false">M3*L3</f>
        <v>2095.33333333333</v>
      </c>
      <c r="O3" s="11" t="n">
        <v>25232</v>
      </c>
      <c r="P3" s="11" t="n">
        <v>25225.2</v>
      </c>
      <c r="Q3" s="11" t="n">
        <f aca="false">ABS(O3-P3)</f>
        <v>6.79999999999927</v>
      </c>
      <c r="R3" s="16" t="n">
        <f aca="false">((Q3*G3)/2)/F3</f>
        <v>0.00269499048826858</v>
      </c>
      <c r="S3" s="5" t="n">
        <v>0</v>
      </c>
      <c r="T3" s="17" t="n">
        <f aca="false">R3/I3</f>
        <v>0.0108176901049941</v>
      </c>
    </row>
    <row r="4" customFormat="false" ht="12.8" hidden="false" customHeight="false" outlineLevel="0" collapsed="false">
      <c r="A4" s="11" t="s">
        <v>20</v>
      </c>
      <c r="B4" s="11" t="s">
        <v>23</v>
      </c>
      <c r="C4" s="11" t="s">
        <v>22</v>
      </c>
      <c r="D4" s="11" t="n">
        <v>1</v>
      </c>
      <c r="E4" s="11" t="n">
        <v>0.2</v>
      </c>
      <c r="F4" s="18" t="n">
        <v>25122.5</v>
      </c>
      <c r="G4" s="13" t="n">
        <v>1</v>
      </c>
      <c r="H4" s="13" t="n">
        <f aca="false">E4*F4*G4</f>
        <v>5024.5</v>
      </c>
      <c r="I4" s="14" t="n">
        <f aca="false">(449*14)/F4</f>
        <v>0.250213951636979</v>
      </c>
      <c r="J4" s="14" t="n">
        <f aca="false">J3</f>
        <v>0.6</v>
      </c>
      <c r="K4" s="13" t="n">
        <f aca="false">(H4*I4)/J4*D4</f>
        <v>2095.33333333333</v>
      </c>
      <c r="L4" s="13" t="n">
        <f aca="false">K4*4</f>
        <v>8381.33333333333</v>
      </c>
      <c r="M4" s="15" t="n">
        <v>0.05</v>
      </c>
      <c r="N4" s="13" t="n">
        <f aca="false">M4*L4</f>
        <v>419.066666666667</v>
      </c>
      <c r="O4" s="19" t="n">
        <v>25117.5</v>
      </c>
      <c r="P4" s="11" t="n">
        <v>25122.5</v>
      </c>
      <c r="Q4" s="11" t="n">
        <f aca="false">ABS(O4-P4)</f>
        <v>5</v>
      </c>
      <c r="R4" s="16" t="n">
        <f aca="false">((Q4*G4)/2)/F4</f>
        <v>9.95123892924669E-005</v>
      </c>
      <c r="T4" s="17" t="n">
        <f aca="false">R4/I4</f>
        <v>0.000397709195036589</v>
      </c>
    </row>
    <row r="5" customFormat="false" ht="12.8" hidden="false" customHeight="false" outlineLevel="0" collapsed="false">
      <c r="A5" s="11" t="s">
        <v>24</v>
      </c>
      <c r="B5" s="11" t="s">
        <v>21</v>
      </c>
      <c r="C5" s="11" t="s">
        <v>22</v>
      </c>
      <c r="D5" s="11" t="n">
        <v>1.16</v>
      </c>
      <c r="E5" s="11" t="n">
        <v>0.2</v>
      </c>
      <c r="F5" s="20" t="n">
        <v>23858.2</v>
      </c>
      <c r="G5" s="20" t="n">
        <v>25</v>
      </c>
      <c r="H5" s="20" t="n">
        <f aca="false">E5*F5*G5</f>
        <v>119291</v>
      </c>
      <c r="I5" s="14" t="n">
        <f aca="false">(328.74059*14)/F5</f>
        <v>0.192905091750425</v>
      </c>
      <c r="J5" s="14" t="n">
        <f aca="false">J4</f>
        <v>0.6</v>
      </c>
      <c r="K5" s="13" t="n">
        <f aca="false">(H5*I5)/J5*D5</f>
        <v>44489.5598466667</v>
      </c>
      <c r="L5" s="13" t="n">
        <f aca="false">K5*4</f>
        <v>177958.239386667</v>
      </c>
      <c r="M5" s="15" t="n">
        <v>0.05</v>
      </c>
      <c r="N5" s="13" t="n">
        <f aca="false">M5*L5</f>
        <v>8897.91196933333</v>
      </c>
      <c r="O5" s="11" t="n">
        <v>23844.2</v>
      </c>
      <c r="P5" s="11" t="n">
        <v>23858.2</v>
      </c>
      <c r="Q5" s="11" t="n">
        <f aca="false">ABS(O5-P5)</f>
        <v>14</v>
      </c>
      <c r="R5" s="16" t="n">
        <f aca="false">((Q5*G5)/2)/F5</f>
        <v>0.00733500431717397</v>
      </c>
      <c r="S5" s="5" t="n">
        <v>0</v>
      </c>
      <c r="T5" s="17" t="n">
        <f aca="false">R5/I5</f>
        <v>0.038023902068193</v>
      </c>
    </row>
    <row r="6" customFormat="false" ht="12.8" hidden="false" customHeight="false" outlineLevel="0" collapsed="false">
      <c r="A6" s="21" t="s">
        <v>24</v>
      </c>
      <c r="B6" s="21" t="s">
        <v>21</v>
      </c>
      <c r="C6" s="21" t="s">
        <v>22</v>
      </c>
      <c r="D6" s="21"/>
      <c r="E6" s="21"/>
      <c r="F6" s="22"/>
      <c r="G6" s="23"/>
      <c r="H6" s="23"/>
      <c r="I6" s="16"/>
      <c r="J6" s="16"/>
      <c r="K6" s="23"/>
      <c r="L6" s="23"/>
      <c r="M6" s="24"/>
      <c r="N6" s="23"/>
      <c r="O6" s="21"/>
      <c r="P6" s="21"/>
      <c r="Q6" s="21"/>
      <c r="R6" s="16"/>
      <c r="T6" s="21"/>
    </row>
    <row r="7" customFormat="false" ht="12.8" hidden="false" customHeight="false" outlineLevel="0" collapsed="false">
      <c r="A7" s="21" t="s">
        <v>24</v>
      </c>
      <c r="B7" s="21" t="s">
        <v>23</v>
      </c>
      <c r="C7" s="21" t="s">
        <v>22</v>
      </c>
      <c r="D7" s="21"/>
      <c r="E7" s="21"/>
      <c r="F7" s="22"/>
      <c r="G7" s="23"/>
      <c r="H7" s="23"/>
      <c r="I7" s="16"/>
      <c r="J7" s="16"/>
      <c r="K7" s="23"/>
      <c r="L7" s="23"/>
      <c r="M7" s="24"/>
      <c r="N7" s="23"/>
      <c r="O7" s="21"/>
      <c r="P7" s="21"/>
      <c r="Q7" s="21"/>
      <c r="R7" s="16"/>
      <c r="T7" s="21"/>
    </row>
    <row r="8" customFormat="false" ht="12.8" hidden="false" customHeight="false" outlineLevel="0" collapsed="false">
      <c r="A8" s="21" t="s">
        <v>25</v>
      </c>
      <c r="B8" s="21" t="s">
        <v>21</v>
      </c>
      <c r="C8" s="21" t="s">
        <v>22</v>
      </c>
      <c r="D8" s="21"/>
      <c r="E8" s="21" t="n">
        <v>0.04</v>
      </c>
      <c r="F8" s="22" t="n">
        <v>6763.13</v>
      </c>
      <c r="G8" s="23" t="n">
        <v>50</v>
      </c>
      <c r="H8" s="23" t="n">
        <f aca="false">E8*F8*G8</f>
        <v>13526.26</v>
      </c>
      <c r="I8" s="16" t="n">
        <f aca="false">(70*14)/F8</f>
        <v>0.144903321391131</v>
      </c>
      <c r="J8" s="16" t="n">
        <f aca="false">J5</f>
        <v>0.6</v>
      </c>
      <c r="K8" s="23" t="n">
        <f aca="false">(H8*I8)/J8</f>
        <v>3266.66666666667</v>
      </c>
      <c r="L8" s="23" t="n">
        <f aca="false">K8*4</f>
        <v>13066.6666666667</v>
      </c>
      <c r="M8" s="24" t="n">
        <v>0.05</v>
      </c>
      <c r="N8" s="23" t="n">
        <f aca="false">M8*L8</f>
        <v>653.333333333333</v>
      </c>
      <c r="O8" s="21" t="n">
        <v>6738.54</v>
      </c>
      <c r="P8" s="21" t="n">
        <v>6739.24</v>
      </c>
      <c r="Q8" s="21" t="n">
        <v>0.7</v>
      </c>
      <c r="R8" s="16" t="n">
        <f aca="false">((Q8*G8)/2)/F8</f>
        <v>0.00258755931055591</v>
      </c>
      <c r="S8" s="5" t="n">
        <v>0</v>
      </c>
      <c r="T8" s="21" t="n">
        <f aca="false">R8/I8</f>
        <v>0.0178571428571429</v>
      </c>
    </row>
    <row r="9" customFormat="false" ht="12.8" hidden="false" customHeight="false" outlineLevel="0" collapsed="false">
      <c r="A9" s="21" t="s">
        <v>25</v>
      </c>
      <c r="B9" s="21" t="s">
        <v>21</v>
      </c>
      <c r="C9" s="21" t="s">
        <v>22</v>
      </c>
      <c r="D9" s="21"/>
      <c r="E9" s="21" t="n">
        <v>0.04</v>
      </c>
      <c r="F9" s="22" t="n">
        <v>6763.13</v>
      </c>
      <c r="G9" s="23" t="n">
        <v>250</v>
      </c>
      <c r="H9" s="23" t="n">
        <f aca="false">E9*F9*G9</f>
        <v>67631.3</v>
      </c>
      <c r="I9" s="16" t="n">
        <f aca="false">(70*14)/F9</f>
        <v>0.144903321391131</v>
      </c>
      <c r="J9" s="16" t="n">
        <f aca="false">J8</f>
        <v>0.6</v>
      </c>
      <c r="K9" s="23" t="n">
        <f aca="false">(H9*I9)/J9</f>
        <v>16333.3333333333</v>
      </c>
      <c r="L9" s="23" t="n">
        <f aca="false">K9*4</f>
        <v>65333.3333333333</v>
      </c>
      <c r="M9" s="24" t="n">
        <v>0.05</v>
      </c>
      <c r="N9" s="23" t="n">
        <f aca="false">M9*L9</f>
        <v>3266.66666666667</v>
      </c>
      <c r="O9" s="21" t="n">
        <v>6738.54</v>
      </c>
      <c r="P9" s="21" t="n">
        <v>6739.24</v>
      </c>
      <c r="Q9" s="21" t="n">
        <v>0.7</v>
      </c>
      <c r="R9" s="16" t="n">
        <f aca="false">((Q9*G9)/2)/F9</f>
        <v>0.0129377965527796</v>
      </c>
      <c r="S9" s="5" t="n">
        <v>0</v>
      </c>
      <c r="T9" s="21" t="n">
        <f aca="false">R9/I9</f>
        <v>0.0892857142857143</v>
      </c>
    </row>
    <row r="10" customFormat="false" ht="12.8" hidden="false" customHeight="false" outlineLevel="0" collapsed="false">
      <c r="A10" s="21" t="s">
        <v>26</v>
      </c>
      <c r="B10" s="21"/>
      <c r="C10" s="21" t="s">
        <v>22</v>
      </c>
      <c r="D10" s="21"/>
      <c r="E10" s="21"/>
      <c r="F10" s="22"/>
      <c r="G10" s="23"/>
      <c r="H10" s="23"/>
      <c r="I10" s="16"/>
      <c r="J10" s="16" t="n">
        <f aca="false">J8</f>
        <v>0.6</v>
      </c>
      <c r="K10" s="23"/>
      <c r="L10" s="23"/>
      <c r="M10" s="24"/>
      <c r="N10" s="23"/>
      <c r="O10" s="21" t="n">
        <v>2751.51</v>
      </c>
      <c r="P10" s="21" t="n">
        <v>2753.01</v>
      </c>
      <c r="Q10" s="21" t="n">
        <v>1.5</v>
      </c>
      <c r="R10" s="16"/>
      <c r="T10" s="21"/>
    </row>
    <row r="11" customFormat="false" ht="12.8" hidden="false" customHeight="false" outlineLevel="0" collapsed="false">
      <c r="A11" s="21" t="s">
        <v>27</v>
      </c>
      <c r="B11" s="21"/>
      <c r="C11" s="21" t="s">
        <v>22</v>
      </c>
      <c r="D11" s="21"/>
      <c r="E11" s="21"/>
      <c r="F11" s="22"/>
      <c r="G11" s="23"/>
      <c r="H11" s="23"/>
      <c r="I11" s="16"/>
      <c r="J11" s="16" t="n">
        <f aca="false">J10</f>
        <v>0.6</v>
      </c>
      <c r="K11" s="23"/>
      <c r="L11" s="23"/>
      <c r="M11" s="24"/>
      <c r="N11" s="23"/>
      <c r="O11" s="21" t="n">
        <v>47041.1</v>
      </c>
      <c r="P11" s="21" t="n">
        <v>47046.1</v>
      </c>
      <c r="Q11" s="21" t="n">
        <v>5</v>
      </c>
      <c r="R11" s="16"/>
      <c r="T11" s="21"/>
    </row>
    <row r="12" customFormat="false" ht="12.8" hidden="false" customHeight="false" outlineLevel="0" collapsed="false">
      <c r="A12" s="21" t="s">
        <v>28</v>
      </c>
      <c r="B12" s="21"/>
      <c r="C12" s="21" t="s">
        <v>22</v>
      </c>
      <c r="D12" s="21"/>
      <c r="E12" s="21"/>
      <c r="F12" s="22"/>
      <c r="G12" s="23"/>
      <c r="H12" s="23"/>
      <c r="I12" s="16"/>
      <c r="J12" s="16" t="n">
        <f aca="false">J11</f>
        <v>0.6</v>
      </c>
      <c r="K12" s="23"/>
      <c r="L12" s="23"/>
      <c r="M12" s="24"/>
      <c r="N12" s="23"/>
      <c r="O12" s="21" t="n">
        <v>50458.5</v>
      </c>
      <c r="P12" s="21" t="n">
        <v>50462.8</v>
      </c>
      <c r="Q12" s="21" t="n">
        <v>4.3</v>
      </c>
      <c r="R12" s="16"/>
      <c r="T12" s="21"/>
    </row>
    <row r="13" customFormat="false" ht="12.8" hidden="false" customHeight="false" outlineLevel="0" collapsed="false">
      <c r="A13" s="21" t="s">
        <v>29</v>
      </c>
      <c r="B13" s="21"/>
      <c r="C13" s="21" t="s">
        <v>22</v>
      </c>
      <c r="D13" s="21"/>
      <c r="E13" s="21"/>
      <c r="F13" s="22"/>
      <c r="G13" s="23"/>
      <c r="H13" s="23"/>
      <c r="I13" s="16"/>
      <c r="J13" s="16" t="n">
        <f aca="false">J12</f>
        <v>0.6</v>
      </c>
      <c r="K13" s="23"/>
      <c r="L13" s="23"/>
      <c r="M13" s="24"/>
      <c r="N13" s="23"/>
      <c r="O13" s="21" t="n">
        <v>9732.4</v>
      </c>
      <c r="P13" s="21" t="n">
        <v>9736.4</v>
      </c>
      <c r="Q13" s="21" t="n">
        <v>4</v>
      </c>
      <c r="R13" s="16"/>
      <c r="T13" s="21"/>
    </row>
    <row r="14" customFormat="false" ht="23.85" hidden="false" customHeight="false" outlineLevel="0" collapsed="false">
      <c r="A14" s="21" t="s">
        <v>30</v>
      </c>
      <c r="B14" s="21"/>
      <c r="C14" s="21" t="s">
        <v>22</v>
      </c>
      <c r="D14" s="21"/>
      <c r="E14" s="21"/>
      <c r="F14" s="22"/>
      <c r="G14" s="23"/>
      <c r="H14" s="23"/>
      <c r="I14" s="16"/>
      <c r="J14" s="16" t="n">
        <f aca="false">J13</f>
        <v>0.6</v>
      </c>
      <c r="K14" s="23"/>
      <c r="L14" s="23"/>
      <c r="M14" s="24"/>
      <c r="N14" s="23"/>
      <c r="O14" s="21" t="n">
        <v>2436</v>
      </c>
      <c r="P14" s="21" t="n">
        <v>2436.3</v>
      </c>
      <c r="Q14" s="21" t="n">
        <v>0.3</v>
      </c>
      <c r="R14" s="16"/>
      <c r="T14" s="21"/>
    </row>
    <row r="15" customFormat="false" ht="12.8" hidden="false" customHeight="false" outlineLevel="0" collapsed="false">
      <c r="A15" s="21" t="s">
        <v>31</v>
      </c>
      <c r="B15" s="21"/>
      <c r="C15" s="21" t="s">
        <v>22</v>
      </c>
      <c r="D15" s="21"/>
      <c r="E15" s="21"/>
      <c r="F15" s="22"/>
      <c r="G15" s="23"/>
      <c r="H15" s="23"/>
      <c r="I15" s="16"/>
      <c r="J15" s="16" t="n">
        <f aca="false">J14</f>
        <v>0.6</v>
      </c>
      <c r="K15" s="23"/>
      <c r="L15" s="23"/>
      <c r="M15" s="24"/>
      <c r="N15" s="23"/>
      <c r="O15" s="21" t="n">
        <v>8019.4</v>
      </c>
      <c r="P15" s="21" t="n">
        <v>8024.3</v>
      </c>
      <c r="Q15" s="21" t="n">
        <v>4.9</v>
      </c>
      <c r="R15" s="16"/>
      <c r="T15" s="21"/>
    </row>
    <row r="16" customFormat="false" ht="23.85" hidden="false" customHeight="false" outlineLevel="0" collapsed="false">
      <c r="A16" s="21" t="s">
        <v>32</v>
      </c>
      <c r="B16" s="21"/>
      <c r="C16" s="21" t="s">
        <v>22</v>
      </c>
      <c r="D16" s="21"/>
      <c r="E16" s="21"/>
      <c r="F16" s="22"/>
      <c r="G16" s="23"/>
      <c r="H16" s="23"/>
      <c r="I16" s="16"/>
      <c r="J16" s="16" t="n">
        <f aca="false">J15</f>
        <v>0.6</v>
      </c>
      <c r="K16" s="23"/>
      <c r="L16" s="23"/>
      <c r="M16" s="24"/>
      <c r="N16" s="23"/>
      <c r="O16" s="21" t="n">
        <v>26129.3</v>
      </c>
      <c r="P16" s="21" t="n">
        <v>26162.9</v>
      </c>
      <c r="Q16" s="21" t="n">
        <v>33.6</v>
      </c>
      <c r="R16" s="16"/>
      <c r="T16" s="21"/>
    </row>
    <row r="17" customFormat="false" ht="12.8" hidden="false" customHeight="false" outlineLevel="0" collapsed="false">
      <c r="A17" s="21" t="s">
        <v>33</v>
      </c>
      <c r="B17" s="21"/>
      <c r="C17" s="21" t="s">
        <v>22</v>
      </c>
      <c r="D17" s="21"/>
      <c r="E17" s="21"/>
      <c r="F17" s="22"/>
      <c r="G17" s="23"/>
      <c r="H17" s="23"/>
      <c r="I17" s="16"/>
      <c r="J17" s="16" t="n">
        <f aca="false">J16</f>
        <v>0.6</v>
      </c>
      <c r="K17" s="23"/>
      <c r="L17" s="23"/>
      <c r="M17" s="24"/>
      <c r="N17" s="23"/>
      <c r="O17" s="21" t="n">
        <v>3112.11</v>
      </c>
      <c r="P17" s="21" t="n">
        <v>3112.11</v>
      </c>
      <c r="Q17" s="21" t="n">
        <v>0</v>
      </c>
      <c r="R17" s="16"/>
      <c r="T17" s="21"/>
    </row>
    <row r="18" customFormat="false" ht="23.85" hidden="false" customHeight="false" outlineLevel="0" collapsed="false">
      <c r="A18" s="21" t="s">
        <v>34</v>
      </c>
      <c r="B18" s="21"/>
      <c r="C18" s="21" t="s">
        <v>22</v>
      </c>
      <c r="D18" s="21"/>
      <c r="E18" s="21"/>
      <c r="F18" s="22"/>
      <c r="G18" s="23"/>
      <c r="H18" s="23"/>
      <c r="I18" s="16"/>
      <c r="J18" s="16" t="n">
        <f aca="false">J17</f>
        <v>0.6</v>
      </c>
      <c r="K18" s="23"/>
      <c r="L18" s="23"/>
      <c r="M18" s="24"/>
      <c r="N18" s="23"/>
      <c r="O18" s="21" t="n">
        <v>18.9</v>
      </c>
      <c r="P18" s="21" t="n">
        <v>19.07</v>
      </c>
      <c r="Q18" s="21" t="n">
        <v>0.17</v>
      </c>
      <c r="R18" s="16"/>
      <c r="T18" s="21"/>
    </row>
    <row r="19" customFormat="false" ht="23.85" hidden="false" customHeight="false" outlineLevel="0" collapsed="false">
      <c r="A19" s="21" t="s">
        <v>35</v>
      </c>
      <c r="B19" s="21"/>
      <c r="C19" s="21" t="s">
        <v>22</v>
      </c>
      <c r="D19" s="21"/>
      <c r="E19" s="21"/>
      <c r="F19" s="22"/>
      <c r="G19" s="23"/>
      <c r="H19" s="23"/>
      <c r="I19" s="16"/>
      <c r="J19" s="16" t="n">
        <f aca="false">J18</f>
        <v>0.6</v>
      </c>
      <c r="K19" s="23"/>
      <c r="L19" s="23"/>
      <c r="M19" s="24"/>
      <c r="N19" s="23"/>
      <c r="O19" s="21" t="n">
        <v>19.92</v>
      </c>
      <c r="P19" s="21" t="n">
        <v>20.08</v>
      </c>
      <c r="Q19" s="21" t="n">
        <v>0.16</v>
      </c>
      <c r="R19" s="16"/>
      <c r="T19" s="21"/>
    </row>
    <row r="20" customFormat="false" ht="12.8" hidden="false" customHeight="false" outlineLevel="0" collapsed="false">
      <c r="A20" s="21" t="s">
        <v>36</v>
      </c>
      <c r="B20" s="21"/>
      <c r="C20" s="21" t="s">
        <v>22</v>
      </c>
      <c r="D20" s="21"/>
      <c r="E20" s="21"/>
      <c r="F20" s="22"/>
      <c r="G20" s="23"/>
      <c r="H20" s="23"/>
      <c r="I20" s="16"/>
      <c r="J20" s="16" t="n">
        <f aca="false">J19</f>
        <v>0.6</v>
      </c>
      <c r="K20" s="23"/>
      <c r="L20" s="23"/>
      <c r="M20" s="24"/>
      <c r="N20" s="23"/>
      <c r="O20" s="21" t="n">
        <v>2248.58</v>
      </c>
      <c r="P20" s="21" t="n">
        <v>2249.78</v>
      </c>
      <c r="Q20" s="21" t="n">
        <v>1.2</v>
      </c>
      <c r="R20" s="16"/>
      <c r="T20" s="21"/>
    </row>
    <row r="21" customFormat="false" ht="12.8" hidden="false" customHeight="false" outlineLevel="0" collapsed="false">
      <c r="A21" s="21" t="s">
        <v>37</v>
      </c>
      <c r="B21" s="21"/>
      <c r="C21" s="21" t="s">
        <v>22</v>
      </c>
      <c r="D21" s="21"/>
      <c r="E21" s="21"/>
      <c r="F21" s="22"/>
      <c r="G21" s="23"/>
      <c r="H21" s="23"/>
      <c r="I21" s="16"/>
      <c r="J21" s="16" t="n">
        <f aca="false">J20</f>
        <v>0.6</v>
      </c>
      <c r="K21" s="23"/>
      <c r="L21" s="23"/>
      <c r="M21" s="24"/>
      <c r="N21" s="23"/>
      <c r="O21" s="21" t="n">
        <v>5622.11</v>
      </c>
      <c r="P21" s="21" t="n">
        <v>5625.11</v>
      </c>
      <c r="Q21" s="21" t="n">
        <v>3</v>
      </c>
      <c r="R21" s="16"/>
      <c r="T21" s="21"/>
    </row>
    <row r="22" customFormat="false" ht="23.85" hidden="false" customHeight="false" outlineLevel="0" collapsed="false">
      <c r="A22" s="21" t="s">
        <v>38</v>
      </c>
      <c r="B22" s="21"/>
      <c r="C22" s="21" t="s">
        <v>22</v>
      </c>
      <c r="D22" s="21"/>
      <c r="E22" s="21"/>
      <c r="F22" s="22"/>
      <c r="G22" s="23"/>
      <c r="H22" s="23"/>
      <c r="I22" s="16"/>
      <c r="J22" s="16" t="n">
        <f aca="false">J21</f>
        <v>0.6</v>
      </c>
      <c r="K22" s="23"/>
      <c r="L22" s="23"/>
      <c r="M22" s="24"/>
      <c r="N22" s="23"/>
      <c r="O22" s="21" t="n">
        <v>5826.6</v>
      </c>
      <c r="P22" s="21" t="n">
        <v>5835.6</v>
      </c>
      <c r="Q22" s="21" t="n">
        <v>9</v>
      </c>
      <c r="R22" s="16"/>
      <c r="T22" s="21"/>
    </row>
    <row r="23" customFormat="false" ht="12.8" hidden="false" customHeight="false" outlineLevel="0" collapsed="false">
      <c r="A23" s="21" t="s">
        <v>39</v>
      </c>
      <c r="B23" s="21"/>
      <c r="C23" s="21" t="s">
        <v>22</v>
      </c>
      <c r="D23" s="21"/>
      <c r="E23" s="21"/>
      <c r="F23" s="22"/>
      <c r="G23" s="23"/>
      <c r="H23" s="23"/>
      <c r="I23" s="16"/>
      <c r="J23" s="16" t="n">
        <f aca="false">J22</f>
        <v>0.6</v>
      </c>
      <c r="K23" s="23"/>
      <c r="L23" s="23"/>
      <c r="M23" s="24"/>
      <c r="N23" s="23"/>
      <c r="O23" s="21" t="n">
        <v>43315.7</v>
      </c>
      <c r="P23" s="21" t="n">
        <v>43357.7</v>
      </c>
      <c r="Q23" s="21" t="n">
        <v>42</v>
      </c>
      <c r="R23" s="16"/>
      <c r="T23" s="21"/>
    </row>
    <row r="24" customFormat="false" ht="23.85" hidden="false" customHeight="false" outlineLevel="0" collapsed="false">
      <c r="A24" s="21" t="s">
        <v>40</v>
      </c>
      <c r="B24" s="21"/>
      <c r="C24" s="21" t="s">
        <v>22</v>
      </c>
      <c r="D24" s="21"/>
      <c r="E24" s="21"/>
      <c r="F24" s="22"/>
      <c r="G24" s="23"/>
      <c r="H24" s="23"/>
      <c r="I24" s="16"/>
      <c r="J24" s="16" t="n">
        <f aca="false">J23</f>
        <v>0.6</v>
      </c>
      <c r="K24" s="23"/>
      <c r="L24" s="23"/>
      <c r="M24" s="24"/>
      <c r="N24" s="23"/>
      <c r="O24" s="21" t="n">
        <v>235.17</v>
      </c>
      <c r="P24" s="21" t="n">
        <v>235.24</v>
      </c>
      <c r="Q24" s="21" t="n">
        <v>0.07</v>
      </c>
      <c r="R24" s="16"/>
      <c r="T24" s="21"/>
    </row>
    <row r="25" customFormat="false" ht="12.8" hidden="false" customHeight="false" outlineLevel="0" collapsed="false">
      <c r="A25" s="21" t="s">
        <v>41</v>
      </c>
      <c r="B25" s="21"/>
      <c r="C25" s="21" t="s">
        <v>22</v>
      </c>
      <c r="D25" s="21"/>
      <c r="E25" s="21"/>
      <c r="F25" s="22"/>
      <c r="G25" s="23"/>
      <c r="H25" s="23"/>
      <c r="I25" s="16"/>
      <c r="J25" s="16" t="n">
        <f aca="false">J24</f>
        <v>0.6</v>
      </c>
      <c r="K25" s="23"/>
      <c r="L25" s="23"/>
      <c r="M25" s="24"/>
      <c r="N25" s="23"/>
      <c r="O25" s="21" t="n">
        <v>8786.9</v>
      </c>
      <c r="P25" s="21" t="n">
        <v>8790.9</v>
      </c>
      <c r="Q25" s="21" t="n">
        <v>4</v>
      </c>
      <c r="R25" s="16"/>
      <c r="T25" s="21"/>
    </row>
    <row r="26" customFormat="false" ht="23.85" hidden="false" customHeight="false" outlineLevel="0" collapsed="false">
      <c r="A26" s="21" t="s">
        <v>42</v>
      </c>
      <c r="B26" s="21"/>
      <c r="C26" s="21" t="s">
        <v>22</v>
      </c>
      <c r="D26" s="21"/>
      <c r="E26" s="21"/>
      <c r="F26" s="22"/>
      <c r="G26" s="23"/>
      <c r="H26" s="23"/>
      <c r="I26" s="16"/>
      <c r="J26" s="16" t="n">
        <f aca="false">J25</f>
        <v>0.6</v>
      </c>
      <c r="K26" s="23"/>
      <c r="L26" s="23"/>
      <c r="M26" s="24"/>
      <c r="N26" s="23"/>
      <c r="O26" s="21" t="n">
        <v>958.9</v>
      </c>
      <c r="P26" s="21" t="n">
        <v>959.4</v>
      </c>
      <c r="Q26" s="21" t="n">
        <v>0.5</v>
      </c>
      <c r="R26" s="16"/>
      <c r="T26" s="21"/>
    </row>
    <row r="27" customFormat="false" ht="12.8" hidden="false" customHeight="false" outlineLevel="0" collapsed="false">
      <c r="A27" s="21" t="s">
        <v>43</v>
      </c>
      <c r="B27" s="21"/>
      <c r="C27" s="21" t="s">
        <v>22</v>
      </c>
      <c r="D27" s="21"/>
      <c r="E27" s="21"/>
      <c r="F27" s="22"/>
      <c r="G27" s="23"/>
      <c r="H27" s="23"/>
      <c r="I27" s="16"/>
      <c r="J27" s="16" t="n">
        <f aca="false">J26</f>
        <v>0.6</v>
      </c>
      <c r="K27" s="23"/>
      <c r="L27" s="23"/>
      <c r="M27" s="24"/>
      <c r="N27" s="23"/>
      <c r="O27" s="21" t="n">
        <v>101962</v>
      </c>
      <c r="P27" s="21" t="n">
        <v>102068</v>
      </c>
      <c r="Q27" s="21" t="n">
        <v>106</v>
      </c>
      <c r="R27" s="16"/>
      <c r="T27" s="21"/>
    </row>
    <row r="28" customFormat="false" ht="12.8" hidden="false" customHeight="false" outlineLevel="0" collapsed="false">
      <c r="A28" s="21" t="s">
        <v>44</v>
      </c>
      <c r="B28" s="21"/>
      <c r="C28" s="21" t="s">
        <v>22</v>
      </c>
      <c r="D28" s="21"/>
      <c r="E28" s="21"/>
      <c r="F28" s="22"/>
      <c r="G28" s="23"/>
      <c r="H28" s="23"/>
      <c r="I28" s="16"/>
      <c r="J28" s="16" t="n">
        <f aca="false">J27</f>
        <v>0.6</v>
      </c>
      <c r="K28" s="23"/>
      <c r="L28" s="23"/>
      <c r="M28" s="24"/>
      <c r="N28" s="23"/>
      <c r="O28" s="21" t="n">
        <v>16450.7</v>
      </c>
      <c r="P28" s="21" t="n">
        <v>16453.7</v>
      </c>
      <c r="Q28" s="21" t="n">
        <v>3</v>
      </c>
      <c r="R28" s="16"/>
      <c r="T28" s="21"/>
    </row>
    <row r="29" customFormat="false" ht="23.85" hidden="false" customHeight="false" outlineLevel="0" collapsed="false">
      <c r="A29" s="21" t="s">
        <v>45</v>
      </c>
      <c r="B29" s="21"/>
      <c r="C29" s="21" t="s">
        <v>22</v>
      </c>
      <c r="D29" s="21"/>
      <c r="E29" s="21"/>
      <c r="F29" s="22"/>
      <c r="G29" s="23"/>
      <c r="H29" s="23"/>
      <c r="I29" s="16"/>
      <c r="J29" s="16" t="n">
        <f aca="false">J28</f>
        <v>0.6</v>
      </c>
      <c r="K29" s="23"/>
      <c r="L29" s="23"/>
      <c r="M29" s="24"/>
      <c r="N29" s="23"/>
      <c r="O29" s="21" t="n">
        <v>1234.52</v>
      </c>
      <c r="P29" s="21" t="n">
        <v>1234.52</v>
      </c>
      <c r="Q29" s="21" t="n">
        <v>0</v>
      </c>
      <c r="R29" s="16"/>
      <c r="T29" s="21"/>
    </row>
    <row r="30" customFormat="false" ht="12.8" hidden="false" customHeight="false" outlineLevel="0" collapsed="false">
      <c r="A30" s="21" t="s">
        <v>46</v>
      </c>
      <c r="B30" s="21"/>
      <c r="C30" s="21" t="s">
        <v>22</v>
      </c>
      <c r="D30" s="21"/>
      <c r="E30" s="21"/>
      <c r="F30" s="22"/>
      <c r="G30" s="23"/>
      <c r="H30" s="23"/>
      <c r="I30" s="16"/>
      <c r="J30" s="16" t="n">
        <f aca="false">J29</f>
        <v>0.6</v>
      </c>
      <c r="K30" s="23"/>
      <c r="L30" s="23"/>
      <c r="M30" s="24"/>
      <c r="N30" s="23"/>
      <c r="O30" s="21" t="n">
        <v>16012.6</v>
      </c>
      <c r="P30" s="21" t="n">
        <v>16024.6</v>
      </c>
      <c r="Q30" s="21" t="n">
        <v>12</v>
      </c>
      <c r="R30" s="16"/>
      <c r="T30" s="21"/>
    </row>
    <row r="31" customFormat="false" ht="12.8" hidden="false" customHeight="false" outlineLevel="0" collapsed="false">
      <c r="A31" s="21" t="s">
        <v>47</v>
      </c>
      <c r="B31" s="21"/>
      <c r="C31" s="21" t="s">
        <v>22</v>
      </c>
      <c r="D31" s="21"/>
      <c r="E31" s="21"/>
      <c r="F31" s="22"/>
      <c r="G31" s="23"/>
      <c r="H31" s="23"/>
      <c r="I31" s="16"/>
      <c r="J31" s="16" t="n">
        <f aca="false">J30</f>
        <v>0.6</v>
      </c>
      <c r="K31" s="23"/>
      <c r="L31" s="23"/>
      <c r="M31" s="24"/>
      <c r="N31" s="23"/>
      <c r="O31" s="21" t="n">
        <v>15407.8</v>
      </c>
      <c r="P31" s="21" t="n">
        <v>15453.8</v>
      </c>
      <c r="Q31" s="21" t="n">
        <v>46</v>
      </c>
      <c r="R31" s="16"/>
      <c r="T31" s="21"/>
    </row>
    <row r="32" customFormat="false" ht="23.85" hidden="false" customHeight="false" outlineLevel="0" collapsed="false">
      <c r="A32" s="21" t="s">
        <v>48</v>
      </c>
      <c r="B32" s="21"/>
      <c r="C32" s="21" t="s">
        <v>22</v>
      </c>
      <c r="D32" s="21"/>
      <c r="E32" s="21"/>
      <c r="F32" s="22"/>
      <c r="G32" s="23"/>
      <c r="H32" s="23"/>
      <c r="I32" s="16"/>
      <c r="J32" s="16" t="n">
        <f aca="false">J31</f>
        <v>0.6</v>
      </c>
      <c r="K32" s="23"/>
      <c r="L32" s="23"/>
      <c r="M32" s="24"/>
      <c r="N32" s="23"/>
      <c r="O32" s="21" t="n">
        <v>12381.8</v>
      </c>
      <c r="P32" s="21" t="n">
        <v>12387.8</v>
      </c>
      <c r="Q32" s="21" t="n">
        <v>6</v>
      </c>
      <c r="R32" s="16"/>
      <c r="T32" s="21"/>
    </row>
    <row r="33" customFormat="false" ht="23.85" hidden="false" customHeight="false" outlineLevel="0" collapsed="false">
      <c r="A33" s="21" t="s">
        <v>49</v>
      </c>
      <c r="B33" s="21"/>
      <c r="C33" s="21" t="s">
        <v>22</v>
      </c>
      <c r="D33" s="21"/>
      <c r="E33" s="21"/>
      <c r="F33" s="22"/>
      <c r="G33" s="23"/>
      <c r="H33" s="23"/>
      <c r="I33" s="16"/>
      <c r="J33" s="16" t="n">
        <f aca="false">J32</f>
        <v>0.6</v>
      </c>
      <c r="K33" s="23"/>
      <c r="L33" s="23"/>
      <c r="M33" s="24"/>
      <c r="N33" s="23"/>
      <c r="O33" s="21" t="n">
        <v>1383</v>
      </c>
      <c r="P33" s="21" t="n">
        <v>1385</v>
      </c>
      <c r="Q33" s="21" t="n">
        <v>2</v>
      </c>
      <c r="R33" s="16"/>
      <c r="T33" s="21"/>
    </row>
    <row r="34" customFormat="false" ht="12.8" hidden="false" customHeight="false" outlineLevel="0" collapsed="false">
      <c r="A34" s="21" t="s">
        <v>50</v>
      </c>
      <c r="B34" s="21"/>
      <c r="C34" s="21" t="s">
        <v>22</v>
      </c>
      <c r="D34" s="21"/>
      <c r="E34" s="21"/>
      <c r="F34" s="22"/>
      <c r="G34" s="23"/>
      <c r="H34" s="23"/>
      <c r="I34" s="16"/>
      <c r="J34" s="16" t="n">
        <f aca="false">J33</f>
        <v>0.6</v>
      </c>
      <c r="K34" s="23"/>
      <c r="L34" s="23"/>
      <c r="M34" s="24"/>
      <c r="N34" s="23"/>
      <c r="O34" s="21" t="n">
        <v>1467.96</v>
      </c>
      <c r="P34" s="21" t="n">
        <v>1468.46</v>
      </c>
      <c r="Q34" s="21" t="n">
        <v>0.5</v>
      </c>
      <c r="R34" s="16"/>
      <c r="T34" s="21"/>
    </row>
    <row r="35" customFormat="false" ht="23.85" hidden="false" customHeight="false" outlineLevel="0" collapsed="false">
      <c r="A35" s="21" t="s">
        <v>51</v>
      </c>
      <c r="B35" s="21"/>
      <c r="C35" s="21" t="s">
        <v>22</v>
      </c>
      <c r="D35" s="21"/>
      <c r="E35" s="21"/>
      <c r="F35" s="22"/>
      <c r="G35" s="23"/>
      <c r="H35" s="23"/>
      <c r="I35" s="16"/>
      <c r="J35" s="16" t="n">
        <f aca="false">J34</f>
        <v>0.6</v>
      </c>
      <c r="K35" s="23"/>
      <c r="L35" s="23"/>
      <c r="M35" s="24"/>
      <c r="N35" s="23"/>
      <c r="O35" s="21" t="n">
        <v>3312.8</v>
      </c>
      <c r="P35" s="21" t="n">
        <v>3314.8</v>
      </c>
      <c r="Q35" s="21" t="n">
        <v>2</v>
      </c>
      <c r="R35" s="16"/>
      <c r="T35" s="21"/>
    </row>
    <row r="36" customFormat="false" ht="23.85" hidden="false" customHeight="false" outlineLevel="0" collapsed="false">
      <c r="A36" s="21" t="s">
        <v>52</v>
      </c>
      <c r="B36" s="21"/>
      <c r="C36" s="21" t="s">
        <v>22</v>
      </c>
      <c r="D36" s="21"/>
      <c r="E36" s="21"/>
      <c r="F36" s="22"/>
      <c r="G36" s="23"/>
      <c r="H36" s="23"/>
      <c r="I36" s="16"/>
      <c r="J36" s="16" t="n">
        <f aca="false">J35</f>
        <v>0.6</v>
      </c>
      <c r="K36" s="23"/>
      <c r="L36" s="23"/>
      <c r="M36" s="24"/>
      <c r="N36" s="23"/>
      <c r="O36" s="21" t="n">
        <v>448.86</v>
      </c>
      <c r="P36" s="21" t="n">
        <v>449.46</v>
      </c>
      <c r="Q36" s="21" t="n">
        <v>0.6</v>
      </c>
      <c r="R36" s="16"/>
      <c r="T36" s="21"/>
    </row>
    <row r="37" customFormat="false" ht="12.8" hidden="false" customHeight="false" outlineLevel="0" collapsed="false">
      <c r="A37" s="21" t="s">
        <v>53</v>
      </c>
      <c r="B37" s="21"/>
      <c r="C37" s="21" t="s">
        <v>22</v>
      </c>
      <c r="D37" s="21"/>
      <c r="E37" s="21"/>
      <c r="F37" s="22"/>
      <c r="G37" s="23"/>
      <c r="H37" s="23"/>
      <c r="I37" s="16"/>
      <c r="J37" s="16" t="n">
        <f aca="false">J36</f>
        <v>0.6</v>
      </c>
      <c r="K37" s="23"/>
      <c r="L37" s="23"/>
      <c r="M37" s="24"/>
      <c r="N37" s="23"/>
      <c r="O37" s="21" t="n">
        <v>1516.7</v>
      </c>
      <c r="P37" s="21" t="n">
        <v>1517.2</v>
      </c>
      <c r="Q37" s="21" t="n">
        <v>0.5</v>
      </c>
      <c r="R37" s="16"/>
      <c r="T37" s="21"/>
    </row>
    <row r="38" customFormat="false" ht="23.85" hidden="false" customHeight="false" outlineLevel="0" collapsed="false">
      <c r="A38" s="21" t="s">
        <v>54</v>
      </c>
      <c r="B38" s="21"/>
      <c r="C38" s="21" t="s">
        <v>22</v>
      </c>
      <c r="D38" s="21"/>
      <c r="E38" s="21"/>
      <c r="F38" s="22"/>
      <c r="G38" s="23"/>
      <c r="H38" s="23"/>
      <c r="I38" s="16"/>
      <c r="J38" s="16" t="n">
        <f aca="false">J37</f>
        <v>0.6</v>
      </c>
      <c r="K38" s="23"/>
      <c r="L38" s="23"/>
      <c r="M38" s="24"/>
      <c r="N38" s="23"/>
      <c r="O38" s="21" t="n">
        <v>8707.4</v>
      </c>
      <c r="P38" s="21" t="n">
        <v>8742.2</v>
      </c>
      <c r="Q38" s="21" t="n">
        <v>34.8</v>
      </c>
      <c r="R38" s="16"/>
      <c r="T38" s="21"/>
    </row>
    <row r="39" customFormat="false" ht="23.85" hidden="false" customHeight="false" outlineLevel="0" collapsed="false">
      <c r="A39" s="21" t="s">
        <v>55</v>
      </c>
      <c r="B39" s="21"/>
      <c r="C39" s="21" t="s">
        <v>22</v>
      </c>
      <c r="D39" s="21"/>
      <c r="E39" s="21"/>
      <c r="F39" s="22"/>
      <c r="G39" s="23"/>
      <c r="H39" s="23"/>
      <c r="I39" s="16"/>
      <c r="J39" s="16" t="n">
        <f aca="false">J38</f>
        <v>0.6</v>
      </c>
      <c r="K39" s="23"/>
      <c r="L39" s="23"/>
      <c r="M39" s="24"/>
      <c r="N39" s="23"/>
      <c r="O39" s="21" t="n">
        <v>9918.4</v>
      </c>
      <c r="P39" s="21" t="n">
        <v>9958.2</v>
      </c>
      <c r="Q39" s="21" t="n">
        <v>39.8</v>
      </c>
      <c r="R39" s="16"/>
      <c r="T39" s="21"/>
    </row>
    <row r="40" customFormat="false" ht="23.85" hidden="false" customHeight="false" outlineLevel="0" collapsed="false">
      <c r="A40" s="21" t="s">
        <v>56</v>
      </c>
      <c r="B40" s="21"/>
      <c r="C40" s="21" t="s">
        <v>22</v>
      </c>
      <c r="D40" s="21"/>
      <c r="E40" s="21"/>
      <c r="F40" s="22"/>
      <c r="G40" s="23"/>
      <c r="H40" s="23"/>
      <c r="I40" s="16"/>
      <c r="J40" s="16" t="n">
        <f aca="false">J39</f>
        <v>0.6</v>
      </c>
      <c r="K40" s="23"/>
      <c r="L40" s="23"/>
      <c r="M40" s="24"/>
      <c r="N40" s="23"/>
      <c r="O40" s="21" t="n">
        <v>72.31</v>
      </c>
      <c r="P40" s="21" t="n">
        <v>72.31</v>
      </c>
      <c r="Q40" s="21" t="n">
        <v>0</v>
      </c>
      <c r="R40" s="16"/>
      <c r="T40" s="21"/>
    </row>
    <row r="41" customFormat="false" ht="23.85" hidden="false" customHeight="false" outlineLevel="0" collapsed="false">
      <c r="A41" s="21" t="s">
        <v>57</v>
      </c>
      <c r="B41" s="21"/>
      <c r="C41" s="21" t="s">
        <v>22</v>
      </c>
      <c r="D41" s="21"/>
      <c r="E41" s="21"/>
      <c r="F41" s="22"/>
      <c r="G41" s="23"/>
      <c r="H41" s="23"/>
      <c r="I41" s="16"/>
      <c r="J41" s="16" t="n">
        <f aca="false">J40</f>
        <v>0.6</v>
      </c>
      <c r="K41" s="23"/>
      <c r="L41" s="23"/>
      <c r="M41" s="24"/>
      <c r="N41" s="23"/>
      <c r="O41" s="21" t="n">
        <v>9252.8</v>
      </c>
      <c r="P41" s="21" t="n">
        <v>9270.2</v>
      </c>
      <c r="Q41" s="21" t="n">
        <v>17.4</v>
      </c>
      <c r="R41" s="16"/>
      <c r="T41" s="21"/>
    </row>
    <row r="42" customFormat="false" ht="12.8" hidden="false" customHeight="false" outlineLevel="0" collapsed="false">
      <c r="A42" s="21" t="s">
        <v>58</v>
      </c>
      <c r="B42" s="21"/>
      <c r="C42" s="21" t="s">
        <v>22</v>
      </c>
      <c r="D42" s="21"/>
      <c r="E42" s="21"/>
      <c r="F42" s="22"/>
      <c r="G42" s="23"/>
      <c r="H42" s="23"/>
      <c r="I42" s="16"/>
      <c r="J42" s="16" t="n">
        <f aca="false">J41</f>
        <v>0.6</v>
      </c>
      <c r="K42" s="23"/>
      <c r="L42" s="23"/>
      <c r="M42" s="24"/>
      <c r="N42" s="23"/>
      <c r="O42" s="21" t="n">
        <v>569.45</v>
      </c>
      <c r="P42" s="21" t="n">
        <v>569.95</v>
      </c>
      <c r="Q42" s="21" t="n">
        <v>0.5</v>
      </c>
      <c r="R42" s="16"/>
      <c r="T42" s="21"/>
    </row>
    <row r="43" customFormat="false" ht="23.85" hidden="false" customHeight="false" outlineLevel="0" collapsed="false">
      <c r="A43" s="21" t="s">
        <v>59</v>
      </c>
      <c r="B43" s="21"/>
      <c r="C43" s="21" t="s">
        <v>22</v>
      </c>
      <c r="D43" s="21"/>
      <c r="E43" s="21"/>
      <c r="F43" s="22"/>
      <c r="G43" s="23"/>
      <c r="H43" s="23"/>
      <c r="I43" s="16"/>
      <c r="J43" s="16" t="n">
        <f aca="false">J42</f>
        <v>0.6</v>
      </c>
      <c r="K43" s="23"/>
      <c r="L43" s="23"/>
      <c r="M43" s="24"/>
      <c r="N43" s="23"/>
      <c r="O43" s="21" t="n">
        <v>7144</v>
      </c>
      <c r="P43" s="21" t="n">
        <v>7158</v>
      </c>
      <c r="Q43" s="21" t="n">
        <v>14</v>
      </c>
      <c r="R43" s="16"/>
      <c r="T43" s="21"/>
    </row>
    <row r="44" customFormat="false" ht="23.85" hidden="false" customHeight="false" outlineLevel="0" collapsed="false">
      <c r="A44" s="21" t="s">
        <v>60</v>
      </c>
      <c r="B44" s="21"/>
      <c r="C44" s="21" t="s">
        <v>22</v>
      </c>
      <c r="D44" s="21"/>
      <c r="E44" s="21"/>
      <c r="F44" s="22"/>
      <c r="G44" s="23"/>
      <c r="H44" s="23"/>
      <c r="I44" s="16"/>
      <c r="J44" s="16" t="n">
        <f aca="false">J43</f>
        <v>0.6</v>
      </c>
      <c r="K44" s="23"/>
      <c r="L44" s="23"/>
      <c r="M44" s="24"/>
      <c r="N44" s="23"/>
      <c r="O44" s="21" t="n">
        <v>7076</v>
      </c>
      <c r="P44" s="21" t="n">
        <v>7090</v>
      </c>
      <c r="Q44" s="21" t="n">
        <v>14</v>
      </c>
      <c r="R44" s="16"/>
      <c r="T44" s="21"/>
    </row>
    <row r="45" customFormat="false" ht="46.25" hidden="false" customHeight="false" outlineLevel="0" collapsed="false">
      <c r="A45" s="21" t="s">
        <v>61</v>
      </c>
      <c r="B45" s="21"/>
      <c r="C45" s="21" t="s">
        <v>22</v>
      </c>
      <c r="D45" s="21"/>
      <c r="E45" s="21"/>
      <c r="F45" s="22"/>
      <c r="G45" s="23"/>
      <c r="H45" s="23"/>
      <c r="I45" s="16"/>
      <c r="J45" s="16" t="n">
        <f aca="false">J44</f>
        <v>0.6</v>
      </c>
      <c r="K45" s="23"/>
      <c r="L45" s="23"/>
      <c r="M45" s="24"/>
      <c r="N45" s="23"/>
      <c r="O45" s="21" t="n">
        <v>13290</v>
      </c>
      <c r="P45" s="21" t="n">
        <v>13316</v>
      </c>
      <c r="Q45" s="21" t="n">
        <v>26</v>
      </c>
      <c r="R45" s="16"/>
      <c r="T45" s="21"/>
    </row>
    <row r="46" customFormat="false" ht="35.05" hidden="false" customHeight="false" outlineLevel="0" collapsed="false">
      <c r="A46" s="21" t="s">
        <v>62</v>
      </c>
      <c r="B46" s="21"/>
      <c r="C46" s="21" t="s">
        <v>22</v>
      </c>
      <c r="D46" s="21"/>
      <c r="E46" s="21"/>
      <c r="F46" s="22"/>
      <c r="G46" s="23"/>
      <c r="H46" s="23"/>
      <c r="I46" s="16"/>
      <c r="J46" s="16" t="n">
        <f aca="false">J45</f>
        <v>0.6</v>
      </c>
      <c r="K46" s="23"/>
      <c r="L46" s="23"/>
      <c r="M46" s="24"/>
      <c r="N46" s="23"/>
      <c r="O46" s="21" t="n">
        <v>4807</v>
      </c>
      <c r="P46" s="21" t="n">
        <v>4817</v>
      </c>
      <c r="Q46" s="21" t="n">
        <v>10</v>
      </c>
      <c r="R46" s="16"/>
      <c r="T46" s="21"/>
    </row>
    <row r="47" customFormat="false" ht="23.85" hidden="false" customHeight="false" outlineLevel="0" collapsed="false">
      <c r="A47" s="21" t="s">
        <v>63</v>
      </c>
      <c r="B47" s="21"/>
      <c r="C47" s="21" t="s">
        <v>22</v>
      </c>
      <c r="D47" s="21"/>
      <c r="E47" s="21"/>
      <c r="F47" s="22"/>
      <c r="G47" s="23"/>
      <c r="H47" s="23"/>
      <c r="I47" s="16"/>
      <c r="J47" s="16" t="n">
        <f aca="false">J46</f>
        <v>0.6</v>
      </c>
      <c r="K47" s="23"/>
      <c r="L47" s="23"/>
      <c r="M47" s="24"/>
      <c r="N47" s="23"/>
      <c r="O47" s="21" t="n">
        <v>24456</v>
      </c>
      <c r="P47" s="21" t="n">
        <v>24545</v>
      </c>
      <c r="Q47" s="21" t="n">
        <v>89</v>
      </c>
      <c r="R47" s="16"/>
      <c r="T47" s="21"/>
    </row>
    <row r="48" customFormat="false" ht="35.05" hidden="false" customHeight="false" outlineLevel="0" collapsed="false">
      <c r="A48" s="21" t="s">
        <v>64</v>
      </c>
      <c r="B48" s="21"/>
      <c r="C48" s="21" t="s">
        <v>22</v>
      </c>
      <c r="D48" s="21"/>
      <c r="E48" s="21"/>
      <c r="F48" s="22"/>
      <c r="G48" s="23"/>
      <c r="H48" s="23"/>
      <c r="I48" s="16"/>
      <c r="J48" s="16" t="n">
        <f aca="false">J47</f>
        <v>0.6</v>
      </c>
      <c r="K48" s="23"/>
      <c r="L48" s="23"/>
      <c r="M48" s="24"/>
      <c r="N48" s="23"/>
      <c r="O48" s="21" t="n">
        <v>9090</v>
      </c>
      <c r="P48" s="21" t="n">
        <v>9108</v>
      </c>
      <c r="Q48" s="21" t="n">
        <v>18</v>
      </c>
      <c r="R48" s="16"/>
      <c r="T48" s="21"/>
    </row>
    <row r="49" customFormat="false" ht="46.25" hidden="false" customHeight="false" outlineLevel="0" collapsed="false">
      <c r="A49" s="21" t="s">
        <v>65</v>
      </c>
      <c r="B49" s="21"/>
      <c r="C49" s="21" t="s">
        <v>22</v>
      </c>
      <c r="D49" s="21"/>
      <c r="E49" s="21"/>
      <c r="F49" s="22"/>
      <c r="G49" s="23"/>
      <c r="H49" s="23"/>
      <c r="I49" s="16"/>
      <c r="J49" s="16" t="n">
        <f aca="false">J48</f>
        <v>0.6</v>
      </c>
      <c r="K49" s="23"/>
      <c r="L49" s="23"/>
      <c r="M49" s="24"/>
      <c r="N49" s="23"/>
      <c r="O49" s="21" t="n">
        <v>2137</v>
      </c>
      <c r="P49" s="21" t="n">
        <v>2141</v>
      </c>
      <c r="Q49" s="21" t="n">
        <v>4</v>
      </c>
      <c r="R49" s="16"/>
      <c r="T49" s="21"/>
    </row>
    <row r="50" customFormat="false" ht="35.05" hidden="false" customHeight="false" outlineLevel="0" collapsed="false">
      <c r="A50" s="21" t="s">
        <v>66</v>
      </c>
      <c r="B50" s="21"/>
      <c r="C50" s="21" t="s">
        <v>22</v>
      </c>
      <c r="D50" s="21"/>
      <c r="E50" s="21"/>
      <c r="F50" s="22"/>
      <c r="G50" s="23"/>
      <c r="H50" s="23"/>
      <c r="I50" s="16"/>
      <c r="J50" s="16" t="n">
        <f aca="false">J49</f>
        <v>0.6</v>
      </c>
      <c r="K50" s="23"/>
      <c r="L50" s="23"/>
      <c r="M50" s="24"/>
      <c r="N50" s="23"/>
      <c r="O50" s="21" t="n">
        <v>9172</v>
      </c>
      <c r="P50" s="21" t="n">
        <v>9198</v>
      </c>
      <c r="Q50" s="21" t="n">
        <v>26</v>
      </c>
      <c r="R50" s="16"/>
      <c r="T50" s="21"/>
    </row>
    <row r="51" customFormat="false" ht="12.8" hidden="false" customHeight="false" outlineLevel="0" collapsed="false">
      <c r="A51" s="21" t="s">
        <v>67</v>
      </c>
      <c r="B51" s="21"/>
      <c r="C51" s="21" t="s">
        <v>22</v>
      </c>
      <c r="D51" s="21"/>
      <c r="E51" s="21"/>
      <c r="F51" s="22"/>
      <c r="G51" s="23"/>
      <c r="H51" s="23"/>
      <c r="I51" s="16"/>
      <c r="J51" s="16" t="n">
        <f aca="false">J50</f>
        <v>0.6</v>
      </c>
      <c r="K51" s="23"/>
      <c r="L51" s="23"/>
      <c r="M51" s="24"/>
      <c r="N51" s="23"/>
      <c r="O51" s="21" t="n">
        <v>21752</v>
      </c>
      <c r="P51" s="21" t="n">
        <v>21975</v>
      </c>
      <c r="Q51" s="21" t="n">
        <v>223</v>
      </c>
      <c r="R51" s="16"/>
      <c r="T51" s="21"/>
    </row>
    <row r="52" customFormat="false" ht="23.85" hidden="false" customHeight="false" outlineLevel="0" collapsed="false">
      <c r="A52" s="21" t="s">
        <v>68</v>
      </c>
      <c r="B52" s="21"/>
      <c r="C52" s="21" t="s">
        <v>22</v>
      </c>
      <c r="D52" s="21"/>
      <c r="E52" s="21"/>
      <c r="F52" s="22"/>
      <c r="G52" s="23"/>
      <c r="H52" s="23"/>
      <c r="I52" s="16"/>
      <c r="J52" s="16" t="n">
        <f aca="false">J51</f>
        <v>0.6</v>
      </c>
      <c r="K52" s="23"/>
      <c r="L52" s="23"/>
      <c r="M52" s="24"/>
      <c r="N52" s="23"/>
      <c r="O52" s="21" t="n">
        <v>28901</v>
      </c>
      <c r="P52" s="21" t="n">
        <v>28916</v>
      </c>
      <c r="Q52" s="21" t="n">
        <v>15</v>
      </c>
      <c r="R52" s="16"/>
      <c r="T52" s="21"/>
    </row>
    <row r="53" customFormat="false" ht="23.85" hidden="false" customHeight="false" outlineLevel="0" collapsed="false">
      <c r="A53" s="21" t="s">
        <v>69</v>
      </c>
      <c r="B53" s="21"/>
      <c r="C53" s="21" t="s">
        <v>22</v>
      </c>
      <c r="D53" s="21"/>
      <c r="E53" s="21"/>
      <c r="F53" s="22"/>
      <c r="G53" s="23"/>
      <c r="H53" s="23"/>
      <c r="I53" s="16"/>
      <c r="J53" s="16" t="n">
        <f aca="false">J52</f>
        <v>0.6</v>
      </c>
      <c r="K53" s="23"/>
      <c r="L53" s="23"/>
      <c r="M53" s="24"/>
      <c r="N53" s="23"/>
      <c r="O53" s="21" t="n">
        <v>3476</v>
      </c>
      <c r="P53" s="21" t="n">
        <v>3479</v>
      </c>
      <c r="Q53" s="21" t="n">
        <v>3</v>
      </c>
      <c r="R53" s="16"/>
      <c r="T53" s="2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Roman,Normal"&amp;12Sida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0"/>
  <sheetViews>
    <sheetView showFormulas="false" showGridLines="true" showRowColHeaders="true" showZeros="true" rightToLeft="false" tabSelected="true" showOutlineSymbols="true" defaultGridColor="true" view="normal" topLeftCell="A184" colorId="64" zoomScale="100" zoomScaleNormal="100" zoomScalePageLayoutView="100" workbookViewId="0">
      <selection pane="topLeft" activeCell="B217" activeCellId="0" sqref="B217"/>
    </sheetView>
  </sheetViews>
  <sheetFormatPr defaultColWidth="11.53515625" defaultRowHeight="12.8" zeroHeight="false" outlineLevelRow="0" outlineLevelCol="0"/>
  <sheetData>
    <row r="1" customFormat="false" ht="35.05" hidden="false" customHeight="false" outlineLevel="0" collapsed="false">
      <c r="A1" s="6" t="s">
        <v>0</v>
      </c>
    </row>
    <row r="2" customFormat="false" ht="12.8" hidden="false" customHeight="false" outlineLevel="0" collapsed="false">
      <c r="A2" s="25" t="s">
        <v>20</v>
      </c>
    </row>
    <row r="3" customFormat="false" ht="12.8" hidden="false" customHeight="false" outlineLevel="0" collapsed="false">
      <c r="A3" s="25" t="s">
        <v>24</v>
      </c>
    </row>
    <row r="4" customFormat="false" ht="12.8" hidden="false" customHeight="false" outlineLevel="0" collapsed="false">
      <c r="A4" s="25" t="s">
        <v>25</v>
      </c>
    </row>
    <row r="5" customFormat="false" ht="12.8" hidden="false" customHeight="false" outlineLevel="0" collapsed="false">
      <c r="A5" s="25" t="s">
        <v>26</v>
      </c>
    </row>
    <row r="6" customFormat="false" ht="12.8" hidden="false" customHeight="false" outlineLevel="0" collapsed="false">
      <c r="A6" s="25" t="s">
        <v>27</v>
      </c>
    </row>
    <row r="7" customFormat="false" ht="12.8" hidden="false" customHeight="false" outlineLevel="0" collapsed="false">
      <c r="A7" s="25" t="s">
        <v>28</v>
      </c>
    </row>
    <row r="8" customFormat="false" ht="12.8" hidden="false" customHeight="false" outlineLevel="0" collapsed="false">
      <c r="A8" s="25" t="s">
        <v>29</v>
      </c>
    </row>
    <row r="9" customFormat="false" ht="23.85" hidden="false" customHeight="false" outlineLevel="0" collapsed="false">
      <c r="A9" s="25" t="s">
        <v>30</v>
      </c>
    </row>
    <row r="10" customFormat="false" ht="12.8" hidden="false" customHeight="false" outlineLevel="0" collapsed="false">
      <c r="A10" s="25" t="s">
        <v>31</v>
      </c>
    </row>
    <row r="11" customFormat="false" ht="23.85" hidden="false" customHeight="false" outlineLevel="0" collapsed="false">
      <c r="A11" s="25" t="s">
        <v>32</v>
      </c>
    </row>
    <row r="12" customFormat="false" ht="12.8" hidden="false" customHeight="false" outlineLevel="0" collapsed="false">
      <c r="A12" s="25" t="s">
        <v>33</v>
      </c>
    </row>
    <row r="13" customFormat="false" ht="23.85" hidden="false" customHeight="false" outlineLevel="0" collapsed="false">
      <c r="A13" s="25" t="s">
        <v>34</v>
      </c>
    </row>
    <row r="14" customFormat="false" ht="23.85" hidden="false" customHeight="false" outlineLevel="0" collapsed="false">
      <c r="A14" s="25" t="s">
        <v>35</v>
      </c>
    </row>
    <row r="15" customFormat="false" ht="12.8" hidden="false" customHeight="false" outlineLevel="0" collapsed="false">
      <c r="A15" s="25" t="s">
        <v>36</v>
      </c>
    </row>
    <row r="16" customFormat="false" ht="23.85" hidden="false" customHeight="false" outlineLevel="0" collapsed="false">
      <c r="A16" s="25" t="s">
        <v>37</v>
      </c>
    </row>
    <row r="17" customFormat="false" ht="23.85" hidden="false" customHeight="false" outlineLevel="0" collapsed="false">
      <c r="A17" s="25" t="s">
        <v>38</v>
      </c>
    </row>
    <row r="18" customFormat="false" ht="23.85" hidden="false" customHeight="false" outlineLevel="0" collapsed="false">
      <c r="A18" s="25" t="s">
        <v>39</v>
      </c>
    </row>
    <row r="19" customFormat="false" ht="23.85" hidden="false" customHeight="false" outlineLevel="0" collapsed="false">
      <c r="A19" s="25" t="s">
        <v>40</v>
      </c>
    </row>
    <row r="20" customFormat="false" ht="12.8" hidden="false" customHeight="false" outlineLevel="0" collapsed="false">
      <c r="A20" s="25" t="s">
        <v>41</v>
      </c>
    </row>
    <row r="21" customFormat="false" ht="23.85" hidden="false" customHeight="false" outlineLevel="0" collapsed="false">
      <c r="A21" s="25" t="s">
        <v>42</v>
      </c>
    </row>
    <row r="22" customFormat="false" ht="23.85" hidden="false" customHeight="false" outlineLevel="0" collapsed="false">
      <c r="A22" s="25" t="s">
        <v>43</v>
      </c>
    </row>
    <row r="23" customFormat="false" ht="12.8" hidden="false" customHeight="false" outlineLevel="0" collapsed="false">
      <c r="A23" s="25" t="s">
        <v>44</v>
      </c>
    </row>
    <row r="24" customFormat="false" ht="23.85" hidden="false" customHeight="false" outlineLevel="0" collapsed="false">
      <c r="A24" s="25" t="s">
        <v>45</v>
      </c>
    </row>
    <row r="25" customFormat="false" ht="12.8" hidden="false" customHeight="false" outlineLevel="0" collapsed="false">
      <c r="A25" s="25" t="s">
        <v>46</v>
      </c>
    </row>
    <row r="26" customFormat="false" ht="23.85" hidden="false" customHeight="false" outlineLevel="0" collapsed="false">
      <c r="A26" s="25" t="s">
        <v>47</v>
      </c>
    </row>
    <row r="27" customFormat="false" ht="23.85" hidden="false" customHeight="false" outlineLevel="0" collapsed="false">
      <c r="A27" s="25" t="s">
        <v>48</v>
      </c>
    </row>
    <row r="28" customFormat="false" ht="23.85" hidden="false" customHeight="false" outlineLevel="0" collapsed="false">
      <c r="A28" s="25" t="s">
        <v>49</v>
      </c>
    </row>
    <row r="29" customFormat="false" ht="23.85" hidden="false" customHeight="false" outlineLevel="0" collapsed="false">
      <c r="A29" s="25" t="s">
        <v>50</v>
      </c>
    </row>
    <row r="30" customFormat="false" ht="23.85" hidden="false" customHeight="false" outlineLevel="0" collapsed="false">
      <c r="A30" s="25" t="s">
        <v>51</v>
      </c>
    </row>
    <row r="31" customFormat="false" ht="23.85" hidden="false" customHeight="false" outlineLevel="0" collapsed="false">
      <c r="A31" s="25" t="s">
        <v>52</v>
      </c>
    </row>
    <row r="32" customFormat="false" ht="23.85" hidden="false" customHeight="false" outlineLevel="0" collapsed="false">
      <c r="A32" s="25" t="s">
        <v>53</v>
      </c>
    </row>
    <row r="33" customFormat="false" ht="23.85" hidden="false" customHeight="false" outlineLevel="0" collapsed="false">
      <c r="A33" s="25" t="s">
        <v>54</v>
      </c>
    </row>
    <row r="34" customFormat="false" ht="23.85" hidden="false" customHeight="false" outlineLevel="0" collapsed="false">
      <c r="A34" s="25" t="s">
        <v>55</v>
      </c>
    </row>
    <row r="35" customFormat="false" ht="23.85" hidden="false" customHeight="false" outlineLevel="0" collapsed="false">
      <c r="A35" s="25" t="s">
        <v>56</v>
      </c>
    </row>
    <row r="36" customFormat="false" ht="23.85" hidden="false" customHeight="false" outlineLevel="0" collapsed="false">
      <c r="A36" s="25" t="s">
        <v>57</v>
      </c>
    </row>
    <row r="37" customFormat="false" ht="12.8" hidden="false" customHeight="false" outlineLevel="0" collapsed="false">
      <c r="A37" s="25" t="s">
        <v>58</v>
      </c>
    </row>
    <row r="38" customFormat="false" ht="23.85" hidden="false" customHeight="false" outlineLevel="0" collapsed="false">
      <c r="A38" s="25" t="s">
        <v>59</v>
      </c>
    </row>
    <row r="39" customFormat="false" ht="23.85" hidden="false" customHeight="false" outlineLevel="0" collapsed="false">
      <c r="A39" s="25" t="s">
        <v>60</v>
      </c>
    </row>
    <row r="40" customFormat="false" ht="46.25" hidden="false" customHeight="false" outlineLevel="0" collapsed="false">
      <c r="A40" s="25" t="s">
        <v>61</v>
      </c>
    </row>
    <row r="41" customFormat="false" ht="35.05" hidden="false" customHeight="false" outlineLevel="0" collapsed="false">
      <c r="A41" s="25" t="s">
        <v>62</v>
      </c>
    </row>
    <row r="42" customFormat="false" ht="23.85" hidden="false" customHeight="false" outlineLevel="0" collapsed="false">
      <c r="A42" s="25" t="s">
        <v>63</v>
      </c>
    </row>
    <row r="43" customFormat="false" ht="35.05" hidden="false" customHeight="false" outlineLevel="0" collapsed="false">
      <c r="A43" s="25" t="s">
        <v>64</v>
      </c>
    </row>
    <row r="44" customFormat="false" ht="46.25" hidden="false" customHeight="false" outlineLevel="0" collapsed="false">
      <c r="A44" s="25" t="s">
        <v>65</v>
      </c>
    </row>
    <row r="45" customFormat="false" ht="46.25" hidden="false" customHeight="false" outlineLevel="0" collapsed="false">
      <c r="A45" s="25" t="s">
        <v>66</v>
      </c>
    </row>
    <row r="46" customFormat="false" ht="35.05" hidden="false" customHeight="false" outlineLevel="0" collapsed="false">
      <c r="A46" s="25" t="s">
        <v>67</v>
      </c>
    </row>
    <row r="47" customFormat="false" ht="23.85" hidden="false" customHeight="false" outlineLevel="0" collapsed="false">
      <c r="A47" s="25" t="s">
        <v>68</v>
      </c>
    </row>
    <row r="48" customFormat="false" ht="35.05" hidden="false" customHeight="false" outlineLevel="0" collapsed="false">
      <c r="A48" s="25" t="s">
        <v>69</v>
      </c>
    </row>
    <row r="49" customFormat="false" ht="46.25" hidden="false" customHeight="false" outlineLevel="0" collapsed="false">
      <c r="A49" s="25" t="s">
        <v>70</v>
      </c>
    </row>
    <row r="50" customFormat="false" ht="35.05" hidden="false" customHeight="false" outlineLevel="0" collapsed="false">
      <c r="A50" s="25" t="s">
        <v>71</v>
      </c>
    </row>
    <row r="51" customFormat="false" ht="12.8" hidden="false" customHeight="false" outlineLevel="0" collapsed="false">
      <c r="A51" s="25" t="s">
        <v>72</v>
      </c>
    </row>
    <row r="52" customFormat="false" ht="23.85" hidden="false" customHeight="false" outlineLevel="0" collapsed="false">
      <c r="A52" s="25" t="s">
        <v>73</v>
      </c>
    </row>
    <row r="53" customFormat="false" ht="23.85" hidden="false" customHeight="false" outlineLevel="0" collapsed="false">
      <c r="A53" s="25" t="s">
        <v>74</v>
      </c>
    </row>
    <row r="54" customFormat="false" ht="12.8" hidden="false" customHeight="false" outlineLevel="0" collapsed="false">
      <c r="A54" s="25" t="s">
        <v>75</v>
      </c>
    </row>
    <row r="55" customFormat="false" ht="12.8" hidden="false" customHeight="false" outlineLevel="0" collapsed="false">
      <c r="A55" s="25" t="s">
        <v>76</v>
      </c>
    </row>
    <row r="56" customFormat="false" ht="12.8" hidden="false" customHeight="false" outlineLevel="0" collapsed="false">
      <c r="A56" s="25" t="s">
        <v>77</v>
      </c>
    </row>
    <row r="57" customFormat="false" ht="12.8" hidden="false" customHeight="false" outlineLevel="0" collapsed="false">
      <c r="A57" s="25" t="s">
        <v>78</v>
      </c>
    </row>
    <row r="58" customFormat="false" ht="12.8" hidden="false" customHeight="false" outlineLevel="0" collapsed="false">
      <c r="A58" s="25" t="s">
        <v>79</v>
      </c>
    </row>
    <row r="59" customFormat="false" ht="12.8" hidden="false" customHeight="false" outlineLevel="0" collapsed="false">
      <c r="A59" s="25" t="s">
        <v>80</v>
      </c>
    </row>
    <row r="60" customFormat="false" ht="12.8" hidden="false" customHeight="false" outlineLevel="0" collapsed="false">
      <c r="A60" s="25" t="s">
        <v>81</v>
      </c>
    </row>
    <row r="61" customFormat="false" ht="12.8" hidden="false" customHeight="false" outlineLevel="0" collapsed="false">
      <c r="A61" s="25" t="s">
        <v>82</v>
      </c>
    </row>
    <row r="62" customFormat="false" ht="12.8" hidden="false" customHeight="false" outlineLevel="0" collapsed="false">
      <c r="A62" s="25" t="s">
        <v>83</v>
      </c>
    </row>
    <row r="63" customFormat="false" ht="12.8" hidden="false" customHeight="false" outlineLevel="0" collapsed="false">
      <c r="A63" s="25" t="s">
        <v>84</v>
      </c>
    </row>
    <row r="64" customFormat="false" ht="12.8" hidden="false" customHeight="false" outlineLevel="0" collapsed="false">
      <c r="A64" s="25" t="s">
        <v>85</v>
      </c>
    </row>
    <row r="65" customFormat="false" ht="12.8" hidden="false" customHeight="false" outlineLevel="0" collapsed="false">
      <c r="A65" s="25" t="s">
        <v>86</v>
      </c>
    </row>
    <row r="66" customFormat="false" ht="12.8" hidden="false" customHeight="false" outlineLevel="0" collapsed="false">
      <c r="A66" s="25" t="s">
        <v>87</v>
      </c>
    </row>
    <row r="67" customFormat="false" ht="12.8" hidden="false" customHeight="false" outlineLevel="0" collapsed="false">
      <c r="A67" s="25" t="s">
        <v>88</v>
      </c>
    </row>
    <row r="68" customFormat="false" ht="12.8" hidden="false" customHeight="false" outlineLevel="0" collapsed="false">
      <c r="A68" s="25" t="s">
        <v>89</v>
      </c>
    </row>
    <row r="69" customFormat="false" ht="12.8" hidden="false" customHeight="false" outlineLevel="0" collapsed="false">
      <c r="A69" s="25" t="s">
        <v>90</v>
      </c>
    </row>
    <row r="70" customFormat="false" ht="12.8" hidden="false" customHeight="false" outlineLevel="0" collapsed="false">
      <c r="A70" s="25" t="s">
        <v>91</v>
      </c>
    </row>
    <row r="71" customFormat="false" ht="12.8" hidden="false" customHeight="false" outlineLevel="0" collapsed="false">
      <c r="A71" s="25" t="s">
        <v>92</v>
      </c>
    </row>
    <row r="72" customFormat="false" ht="12.8" hidden="false" customHeight="false" outlineLevel="0" collapsed="false">
      <c r="A72" s="25" t="s">
        <v>93</v>
      </c>
    </row>
    <row r="73" customFormat="false" ht="12.8" hidden="false" customHeight="false" outlineLevel="0" collapsed="false">
      <c r="A73" s="25" t="s">
        <v>94</v>
      </c>
    </row>
    <row r="74" customFormat="false" ht="12.8" hidden="false" customHeight="false" outlineLevel="0" collapsed="false">
      <c r="A74" s="25" t="s">
        <v>95</v>
      </c>
    </row>
    <row r="75" customFormat="false" ht="12.8" hidden="false" customHeight="false" outlineLevel="0" collapsed="false">
      <c r="A75" s="25" t="s">
        <v>96</v>
      </c>
    </row>
    <row r="76" customFormat="false" ht="12.8" hidden="false" customHeight="false" outlineLevel="0" collapsed="false">
      <c r="A76" s="25" t="s">
        <v>97</v>
      </c>
    </row>
    <row r="77" customFormat="false" ht="12.8" hidden="false" customHeight="false" outlineLevel="0" collapsed="false">
      <c r="A77" s="25" t="s">
        <v>98</v>
      </c>
    </row>
    <row r="78" customFormat="false" ht="12.8" hidden="false" customHeight="false" outlineLevel="0" collapsed="false">
      <c r="A78" s="25" t="s">
        <v>99</v>
      </c>
    </row>
    <row r="79" customFormat="false" ht="12.8" hidden="false" customHeight="false" outlineLevel="0" collapsed="false">
      <c r="A79" s="25" t="s">
        <v>100</v>
      </c>
    </row>
    <row r="80" customFormat="false" ht="12.8" hidden="false" customHeight="false" outlineLevel="0" collapsed="false">
      <c r="A80" s="25" t="s">
        <v>101</v>
      </c>
    </row>
    <row r="81" customFormat="false" ht="12.8" hidden="false" customHeight="false" outlineLevel="0" collapsed="false">
      <c r="A81" s="25" t="s">
        <v>102</v>
      </c>
    </row>
    <row r="82" customFormat="false" ht="12.8" hidden="false" customHeight="false" outlineLevel="0" collapsed="false">
      <c r="A82" s="25" t="s">
        <v>103</v>
      </c>
    </row>
    <row r="83" customFormat="false" ht="12.8" hidden="false" customHeight="false" outlineLevel="0" collapsed="false">
      <c r="A83" s="25" t="s">
        <v>104</v>
      </c>
    </row>
    <row r="84" customFormat="false" ht="12.8" hidden="false" customHeight="false" outlineLevel="0" collapsed="false">
      <c r="A84" s="25" t="s">
        <v>105</v>
      </c>
    </row>
    <row r="85" customFormat="false" ht="12.8" hidden="false" customHeight="false" outlineLevel="0" collapsed="false">
      <c r="A85" s="25" t="s">
        <v>106</v>
      </c>
    </row>
    <row r="86" customFormat="false" ht="12.8" hidden="false" customHeight="false" outlineLevel="0" collapsed="false">
      <c r="A86" s="25" t="s">
        <v>107</v>
      </c>
    </row>
    <row r="87" customFormat="false" ht="12.8" hidden="false" customHeight="false" outlineLevel="0" collapsed="false">
      <c r="A87" s="25" t="s">
        <v>108</v>
      </c>
    </row>
    <row r="88" customFormat="false" ht="12.8" hidden="false" customHeight="false" outlineLevel="0" collapsed="false">
      <c r="A88" s="25" t="s">
        <v>109</v>
      </c>
    </row>
    <row r="89" customFormat="false" ht="12.8" hidden="false" customHeight="false" outlineLevel="0" collapsed="false">
      <c r="A89" s="25" t="s">
        <v>110</v>
      </c>
    </row>
    <row r="90" customFormat="false" ht="12.8" hidden="false" customHeight="false" outlineLevel="0" collapsed="false">
      <c r="A90" s="25" t="s">
        <v>111</v>
      </c>
    </row>
    <row r="91" customFormat="false" ht="12.8" hidden="false" customHeight="false" outlineLevel="0" collapsed="false">
      <c r="A91" s="25" t="s">
        <v>112</v>
      </c>
    </row>
    <row r="92" customFormat="false" ht="12.8" hidden="false" customHeight="false" outlineLevel="0" collapsed="false">
      <c r="A92" s="25" t="s">
        <v>113</v>
      </c>
    </row>
    <row r="93" customFormat="false" ht="12.8" hidden="false" customHeight="false" outlineLevel="0" collapsed="false">
      <c r="A93" s="25" t="s">
        <v>114</v>
      </c>
    </row>
    <row r="94" customFormat="false" ht="12.8" hidden="false" customHeight="false" outlineLevel="0" collapsed="false">
      <c r="A94" s="25" t="s">
        <v>115</v>
      </c>
    </row>
    <row r="95" customFormat="false" ht="12.8" hidden="false" customHeight="false" outlineLevel="0" collapsed="false">
      <c r="A95" s="25" t="s">
        <v>116</v>
      </c>
    </row>
    <row r="96" customFormat="false" ht="12.8" hidden="false" customHeight="false" outlineLevel="0" collapsed="false">
      <c r="A96" s="25" t="s">
        <v>117</v>
      </c>
    </row>
    <row r="97" customFormat="false" ht="12.8" hidden="false" customHeight="false" outlineLevel="0" collapsed="false">
      <c r="A97" s="25" t="s">
        <v>118</v>
      </c>
    </row>
    <row r="98" customFormat="false" ht="12.8" hidden="false" customHeight="false" outlineLevel="0" collapsed="false">
      <c r="A98" s="25" t="s">
        <v>119</v>
      </c>
    </row>
    <row r="99" customFormat="false" ht="12.8" hidden="false" customHeight="false" outlineLevel="0" collapsed="false">
      <c r="A99" s="25" t="s">
        <v>120</v>
      </c>
    </row>
    <row r="100" customFormat="false" ht="12.8" hidden="false" customHeight="false" outlineLevel="0" collapsed="false">
      <c r="A100" s="25" t="s">
        <v>121</v>
      </c>
    </row>
    <row r="101" customFormat="false" ht="12.8" hidden="false" customHeight="false" outlineLevel="0" collapsed="false">
      <c r="A101" s="25" t="s">
        <v>122</v>
      </c>
    </row>
    <row r="102" customFormat="false" ht="12.8" hidden="false" customHeight="false" outlineLevel="0" collapsed="false">
      <c r="A102" s="25" t="s">
        <v>123</v>
      </c>
    </row>
    <row r="103" customFormat="false" ht="12.8" hidden="false" customHeight="false" outlineLevel="0" collapsed="false">
      <c r="A103" s="25" t="s">
        <v>124</v>
      </c>
    </row>
    <row r="104" customFormat="false" ht="12.8" hidden="false" customHeight="false" outlineLevel="0" collapsed="false">
      <c r="A104" s="25" t="s">
        <v>125</v>
      </c>
    </row>
    <row r="105" customFormat="false" ht="12.8" hidden="false" customHeight="false" outlineLevel="0" collapsed="false">
      <c r="A105" s="25" t="s">
        <v>126</v>
      </c>
    </row>
    <row r="106" customFormat="false" ht="12.8" hidden="false" customHeight="false" outlineLevel="0" collapsed="false">
      <c r="A106" s="25" t="s">
        <v>127</v>
      </c>
    </row>
    <row r="107" customFormat="false" ht="12.8" hidden="false" customHeight="false" outlineLevel="0" collapsed="false">
      <c r="A107" s="25" t="s">
        <v>128</v>
      </c>
    </row>
    <row r="108" customFormat="false" ht="12.8" hidden="false" customHeight="false" outlineLevel="0" collapsed="false">
      <c r="A108" s="25" t="s">
        <v>129</v>
      </c>
    </row>
    <row r="109" customFormat="false" ht="12.8" hidden="false" customHeight="false" outlineLevel="0" collapsed="false">
      <c r="A109" s="25" t="s">
        <v>130</v>
      </c>
    </row>
    <row r="110" customFormat="false" ht="12.8" hidden="false" customHeight="false" outlineLevel="0" collapsed="false">
      <c r="A110" s="25" t="s">
        <v>131</v>
      </c>
    </row>
    <row r="111" customFormat="false" ht="12.8" hidden="false" customHeight="false" outlineLevel="0" collapsed="false">
      <c r="A111" s="25" t="s">
        <v>132</v>
      </c>
    </row>
    <row r="112" customFormat="false" ht="12.8" hidden="false" customHeight="false" outlineLevel="0" collapsed="false">
      <c r="A112" s="25" t="s">
        <v>133</v>
      </c>
    </row>
    <row r="113" customFormat="false" ht="12.8" hidden="false" customHeight="false" outlineLevel="0" collapsed="false">
      <c r="A113" s="25" t="s">
        <v>134</v>
      </c>
    </row>
    <row r="114" customFormat="false" ht="12.8" hidden="false" customHeight="false" outlineLevel="0" collapsed="false">
      <c r="A114" s="25" t="s">
        <v>135</v>
      </c>
    </row>
    <row r="115" customFormat="false" ht="12.8" hidden="false" customHeight="false" outlineLevel="0" collapsed="false">
      <c r="A115" s="25" t="s">
        <v>136</v>
      </c>
    </row>
    <row r="116" customFormat="false" ht="12.8" hidden="false" customHeight="false" outlineLevel="0" collapsed="false">
      <c r="A116" s="25" t="s">
        <v>137</v>
      </c>
    </row>
    <row r="117" customFormat="false" ht="12.8" hidden="false" customHeight="false" outlineLevel="0" collapsed="false">
      <c r="A117" s="25" t="s">
        <v>138</v>
      </c>
    </row>
    <row r="118" customFormat="false" ht="12.8" hidden="false" customHeight="false" outlineLevel="0" collapsed="false">
      <c r="A118" s="25" t="s">
        <v>139</v>
      </c>
    </row>
    <row r="119" customFormat="false" ht="12.8" hidden="false" customHeight="false" outlineLevel="0" collapsed="false">
      <c r="A119" s="25" t="s">
        <v>140</v>
      </c>
    </row>
    <row r="120" customFormat="false" ht="12.8" hidden="false" customHeight="false" outlineLevel="0" collapsed="false">
      <c r="A120" s="25" t="s">
        <v>141</v>
      </c>
    </row>
    <row r="121" customFormat="false" ht="12.8" hidden="false" customHeight="false" outlineLevel="0" collapsed="false">
      <c r="A121" s="25" t="s">
        <v>142</v>
      </c>
    </row>
    <row r="122" customFormat="false" ht="12.8" hidden="false" customHeight="false" outlineLevel="0" collapsed="false">
      <c r="A122" s="25" t="s">
        <v>143</v>
      </c>
    </row>
    <row r="123" customFormat="false" ht="12.8" hidden="false" customHeight="false" outlineLevel="0" collapsed="false">
      <c r="A123" s="25" t="s">
        <v>144</v>
      </c>
    </row>
    <row r="124" customFormat="false" ht="12.8" hidden="false" customHeight="false" outlineLevel="0" collapsed="false">
      <c r="A124" s="25" t="s">
        <v>145</v>
      </c>
    </row>
    <row r="125" customFormat="false" ht="12.8" hidden="false" customHeight="false" outlineLevel="0" collapsed="false">
      <c r="A125" s="25" t="s">
        <v>146</v>
      </c>
    </row>
    <row r="126" customFormat="false" ht="12.8" hidden="false" customHeight="false" outlineLevel="0" collapsed="false">
      <c r="A126" s="25" t="s">
        <v>147</v>
      </c>
    </row>
    <row r="127" customFormat="false" ht="12.8" hidden="false" customHeight="false" outlineLevel="0" collapsed="false">
      <c r="A127" s="25" t="s">
        <v>148</v>
      </c>
    </row>
    <row r="128" customFormat="false" ht="12.8" hidden="false" customHeight="false" outlineLevel="0" collapsed="false">
      <c r="A128" s="25" t="s">
        <v>149</v>
      </c>
    </row>
    <row r="129" customFormat="false" ht="12.8" hidden="false" customHeight="false" outlineLevel="0" collapsed="false">
      <c r="A129" s="25" t="s">
        <v>150</v>
      </c>
    </row>
    <row r="130" customFormat="false" ht="12.8" hidden="false" customHeight="false" outlineLevel="0" collapsed="false">
      <c r="A130" s="25" t="s">
        <v>151</v>
      </c>
    </row>
    <row r="131" customFormat="false" ht="12.8" hidden="false" customHeight="false" outlineLevel="0" collapsed="false">
      <c r="A131" s="25" t="s">
        <v>152</v>
      </c>
    </row>
    <row r="132" customFormat="false" ht="12.8" hidden="false" customHeight="false" outlineLevel="0" collapsed="false">
      <c r="A132" s="25" t="s">
        <v>153</v>
      </c>
    </row>
    <row r="133" customFormat="false" ht="12.8" hidden="false" customHeight="false" outlineLevel="0" collapsed="false">
      <c r="A133" s="25" t="s">
        <v>154</v>
      </c>
    </row>
    <row r="134" customFormat="false" ht="12.8" hidden="false" customHeight="false" outlineLevel="0" collapsed="false">
      <c r="A134" s="25" t="s">
        <v>155</v>
      </c>
    </row>
    <row r="135" customFormat="false" ht="12.8" hidden="false" customHeight="false" outlineLevel="0" collapsed="false">
      <c r="A135" s="25" t="s">
        <v>156</v>
      </c>
    </row>
    <row r="136" customFormat="false" ht="12.8" hidden="false" customHeight="false" outlineLevel="0" collapsed="false">
      <c r="A136" s="25" t="s">
        <v>157</v>
      </c>
    </row>
    <row r="137" customFormat="false" ht="12.8" hidden="false" customHeight="false" outlineLevel="0" collapsed="false">
      <c r="A137" s="25" t="s">
        <v>158</v>
      </c>
    </row>
    <row r="138" customFormat="false" ht="12.8" hidden="false" customHeight="false" outlineLevel="0" collapsed="false">
      <c r="A138" s="25" t="s">
        <v>159</v>
      </c>
    </row>
    <row r="139" customFormat="false" ht="12.8" hidden="false" customHeight="false" outlineLevel="0" collapsed="false">
      <c r="A139" s="25" t="s">
        <v>160</v>
      </c>
    </row>
    <row r="140" customFormat="false" ht="12.8" hidden="false" customHeight="false" outlineLevel="0" collapsed="false">
      <c r="A140" s="25" t="s">
        <v>161</v>
      </c>
    </row>
    <row r="141" customFormat="false" ht="12.8" hidden="false" customHeight="false" outlineLevel="0" collapsed="false">
      <c r="A141" s="25" t="s">
        <v>162</v>
      </c>
    </row>
    <row r="142" customFormat="false" ht="12.8" hidden="false" customHeight="false" outlineLevel="0" collapsed="false">
      <c r="A142" s="25" t="s">
        <v>163</v>
      </c>
    </row>
    <row r="143" customFormat="false" ht="12.8" hidden="false" customHeight="false" outlineLevel="0" collapsed="false">
      <c r="A143" s="25" t="s">
        <v>164</v>
      </c>
    </row>
    <row r="144" customFormat="false" ht="12.8" hidden="false" customHeight="false" outlineLevel="0" collapsed="false">
      <c r="A144" s="25" t="s">
        <v>165</v>
      </c>
    </row>
    <row r="145" customFormat="false" ht="12.8" hidden="false" customHeight="false" outlineLevel="0" collapsed="false">
      <c r="A145" s="25" t="s">
        <v>166</v>
      </c>
    </row>
    <row r="146" customFormat="false" ht="12.8" hidden="false" customHeight="false" outlineLevel="0" collapsed="false">
      <c r="A146" s="25" t="s">
        <v>167</v>
      </c>
    </row>
    <row r="147" customFormat="false" ht="12.8" hidden="false" customHeight="false" outlineLevel="0" collapsed="false">
      <c r="A147" s="25" t="s">
        <v>168</v>
      </c>
    </row>
    <row r="148" customFormat="false" ht="12.8" hidden="false" customHeight="false" outlineLevel="0" collapsed="false">
      <c r="A148" s="25" t="s">
        <v>169</v>
      </c>
    </row>
    <row r="149" customFormat="false" ht="12.8" hidden="false" customHeight="false" outlineLevel="0" collapsed="false">
      <c r="A149" s="25" t="s">
        <v>170</v>
      </c>
    </row>
    <row r="150" customFormat="false" ht="12.8" hidden="false" customHeight="false" outlineLevel="0" collapsed="false">
      <c r="A150" s="25" t="s">
        <v>171</v>
      </c>
    </row>
    <row r="151" customFormat="false" ht="12.8" hidden="false" customHeight="false" outlineLevel="0" collapsed="false">
      <c r="A151" s="25" t="s">
        <v>172</v>
      </c>
    </row>
    <row r="152" customFormat="false" ht="12.8" hidden="false" customHeight="false" outlineLevel="0" collapsed="false">
      <c r="A152" s="25" t="s">
        <v>173</v>
      </c>
    </row>
    <row r="153" customFormat="false" ht="12.8" hidden="false" customHeight="false" outlineLevel="0" collapsed="false">
      <c r="A153" s="25" t="s">
        <v>174</v>
      </c>
    </row>
    <row r="154" customFormat="false" ht="12.8" hidden="false" customHeight="false" outlineLevel="0" collapsed="false">
      <c r="A154" s="25" t="s">
        <v>175</v>
      </c>
    </row>
    <row r="155" customFormat="false" ht="23.85" hidden="false" customHeight="false" outlineLevel="0" collapsed="false">
      <c r="A155" s="25" t="s">
        <v>176</v>
      </c>
    </row>
    <row r="156" customFormat="false" ht="12.8" hidden="false" customHeight="false" outlineLevel="0" collapsed="false">
      <c r="A156" s="25" t="s">
        <v>177</v>
      </c>
    </row>
    <row r="157" customFormat="false" ht="12.8" hidden="false" customHeight="false" outlineLevel="0" collapsed="false">
      <c r="A157" s="25" t="s">
        <v>178</v>
      </c>
    </row>
    <row r="158" customFormat="false" ht="23.85" hidden="false" customHeight="false" outlineLevel="0" collapsed="false">
      <c r="A158" s="25" t="s">
        <v>179</v>
      </c>
    </row>
    <row r="159" customFormat="false" ht="12.8" hidden="false" customHeight="false" outlineLevel="0" collapsed="false">
      <c r="A159" s="25" t="s">
        <v>180</v>
      </c>
    </row>
    <row r="160" customFormat="false" ht="12.8" hidden="false" customHeight="false" outlineLevel="0" collapsed="false">
      <c r="A160" s="25" t="s">
        <v>181</v>
      </c>
    </row>
    <row r="161" customFormat="false" ht="12.8" hidden="false" customHeight="false" outlineLevel="0" collapsed="false">
      <c r="A161" s="25" t="s">
        <v>182</v>
      </c>
    </row>
    <row r="162" customFormat="false" ht="12.8" hidden="false" customHeight="false" outlineLevel="0" collapsed="false">
      <c r="A162" s="25" t="s">
        <v>183</v>
      </c>
    </row>
    <row r="163" customFormat="false" ht="12.8" hidden="false" customHeight="false" outlineLevel="0" collapsed="false">
      <c r="A163" s="25" t="s">
        <v>184</v>
      </c>
    </row>
    <row r="164" customFormat="false" ht="12.8" hidden="false" customHeight="false" outlineLevel="0" collapsed="false">
      <c r="A164" s="25" t="s">
        <v>185</v>
      </c>
    </row>
    <row r="165" customFormat="false" ht="23.85" hidden="false" customHeight="false" outlineLevel="0" collapsed="false">
      <c r="A165" s="25" t="s">
        <v>186</v>
      </c>
    </row>
    <row r="166" customFormat="false" ht="23.85" hidden="false" customHeight="false" outlineLevel="0" collapsed="false">
      <c r="A166" s="25" t="s">
        <v>187</v>
      </c>
    </row>
    <row r="167" customFormat="false" ht="35.05" hidden="false" customHeight="false" outlineLevel="0" collapsed="false">
      <c r="A167" s="25" t="s">
        <v>188</v>
      </c>
    </row>
    <row r="168" customFormat="false" ht="23.85" hidden="false" customHeight="false" outlineLevel="0" collapsed="false">
      <c r="A168" s="25" t="s">
        <v>189</v>
      </c>
    </row>
    <row r="169" customFormat="false" ht="12.8" hidden="false" customHeight="false" outlineLevel="0" collapsed="false">
      <c r="A169" s="25" t="s">
        <v>190</v>
      </c>
    </row>
    <row r="170" customFormat="false" ht="12.8" hidden="false" customHeight="false" outlineLevel="0" collapsed="false">
      <c r="A170" s="25" t="s">
        <v>191</v>
      </c>
    </row>
    <row r="171" customFormat="false" ht="23.85" hidden="false" customHeight="false" outlineLevel="0" collapsed="false">
      <c r="A171" s="25" t="s">
        <v>192</v>
      </c>
    </row>
    <row r="172" customFormat="false" ht="12.8" hidden="false" customHeight="false" outlineLevel="0" collapsed="false">
      <c r="A172" s="25" t="s">
        <v>193</v>
      </c>
    </row>
    <row r="173" customFormat="false" ht="12.8" hidden="false" customHeight="false" outlineLevel="0" collapsed="false">
      <c r="A173" s="25" t="s">
        <v>194</v>
      </c>
    </row>
    <row r="174" customFormat="false" ht="12.8" hidden="false" customHeight="false" outlineLevel="0" collapsed="false">
      <c r="A174" s="25" t="s">
        <v>195</v>
      </c>
    </row>
    <row r="175" customFormat="false" ht="12.8" hidden="false" customHeight="false" outlineLevel="0" collapsed="false">
      <c r="A175" s="25" t="s">
        <v>196</v>
      </c>
    </row>
    <row r="176" customFormat="false" ht="12.8" hidden="false" customHeight="false" outlineLevel="0" collapsed="false">
      <c r="A176" s="25" t="s">
        <v>197</v>
      </c>
    </row>
    <row r="177" customFormat="false" ht="23.85" hidden="false" customHeight="false" outlineLevel="0" collapsed="false">
      <c r="A177" s="25" t="s">
        <v>198</v>
      </c>
    </row>
    <row r="178" customFormat="false" ht="12.8" hidden="false" customHeight="false" outlineLevel="0" collapsed="false">
      <c r="A178" s="25" t="s">
        <v>199</v>
      </c>
    </row>
    <row r="179" customFormat="false" ht="12.8" hidden="false" customHeight="false" outlineLevel="0" collapsed="false">
      <c r="A179" s="25" t="s">
        <v>200</v>
      </c>
    </row>
    <row r="180" customFormat="false" ht="12.8" hidden="false" customHeight="false" outlineLevel="0" collapsed="false">
      <c r="A180" s="25" t="s">
        <v>201</v>
      </c>
    </row>
    <row r="181" customFormat="false" ht="12.8" hidden="false" customHeight="false" outlineLevel="0" collapsed="false">
      <c r="A181" s="25" t="s">
        <v>202</v>
      </c>
    </row>
    <row r="182" customFormat="false" ht="12.8" hidden="false" customHeight="false" outlineLevel="0" collapsed="false">
      <c r="A182" s="25" t="s">
        <v>203</v>
      </c>
    </row>
    <row r="183" customFormat="false" ht="35.05" hidden="false" customHeight="false" outlineLevel="0" collapsed="false">
      <c r="A183" s="25" t="s">
        <v>204</v>
      </c>
    </row>
    <row r="184" customFormat="false" ht="23.85" hidden="false" customHeight="false" outlineLevel="0" collapsed="false">
      <c r="A184" s="25" t="s">
        <v>205</v>
      </c>
    </row>
    <row r="185" customFormat="false" ht="23.85" hidden="false" customHeight="false" outlineLevel="0" collapsed="false">
      <c r="A185" s="25" t="s">
        <v>206</v>
      </c>
    </row>
    <row r="186" customFormat="false" ht="23.85" hidden="false" customHeight="false" outlineLevel="0" collapsed="false">
      <c r="A186" s="25" t="s">
        <v>207</v>
      </c>
    </row>
    <row r="187" customFormat="false" ht="23.85" hidden="false" customHeight="false" outlineLevel="0" collapsed="false">
      <c r="A187" s="25" t="s">
        <v>208</v>
      </c>
    </row>
    <row r="188" customFormat="false" ht="12.8" hidden="false" customHeight="false" outlineLevel="0" collapsed="false">
      <c r="A188" s="25" t="s">
        <v>209</v>
      </c>
    </row>
    <row r="189" customFormat="false" ht="12.8" hidden="false" customHeight="false" outlineLevel="0" collapsed="false">
      <c r="A189" s="25" t="s">
        <v>210</v>
      </c>
    </row>
    <row r="190" customFormat="false" ht="35.05" hidden="false" customHeight="false" outlineLevel="0" collapsed="false">
      <c r="A190" s="25" t="s">
        <v>211</v>
      </c>
    </row>
    <row r="191" customFormat="false" ht="12.8" hidden="false" customHeight="false" outlineLevel="0" collapsed="false">
      <c r="A191" s="25" t="s">
        <v>212</v>
      </c>
    </row>
    <row r="192" customFormat="false" ht="12.8" hidden="false" customHeight="false" outlineLevel="0" collapsed="false">
      <c r="A192" s="25" t="s">
        <v>213</v>
      </c>
    </row>
    <row r="193" customFormat="false" ht="12.8" hidden="false" customHeight="false" outlineLevel="0" collapsed="false">
      <c r="A193" s="25" t="s">
        <v>214</v>
      </c>
    </row>
    <row r="194" customFormat="false" ht="12.8" hidden="false" customHeight="false" outlineLevel="0" collapsed="false">
      <c r="A194" s="25" t="s">
        <v>215</v>
      </c>
    </row>
    <row r="195" customFormat="false" ht="12.8" hidden="false" customHeight="false" outlineLevel="0" collapsed="false">
      <c r="A195" s="25" t="s">
        <v>216</v>
      </c>
    </row>
    <row r="196" customFormat="false" ht="12.8" hidden="false" customHeight="false" outlineLevel="0" collapsed="false">
      <c r="A196" s="25" t="s">
        <v>217</v>
      </c>
    </row>
    <row r="197" customFormat="false" ht="12.8" hidden="false" customHeight="false" outlineLevel="0" collapsed="false">
      <c r="A197" s="25" t="s">
        <v>218</v>
      </c>
    </row>
    <row r="198" customFormat="false" ht="12.8" hidden="false" customHeight="false" outlineLevel="0" collapsed="false">
      <c r="A198" s="25" t="s">
        <v>219</v>
      </c>
    </row>
    <row r="199" customFormat="false" ht="12.8" hidden="false" customHeight="false" outlineLevel="0" collapsed="false">
      <c r="A199" s="25" t="s">
        <v>220</v>
      </c>
    </row>
    <row r="200" customFormat="false" ht="23.85" hidden="false" customHeight="false" outlineLevel="0" collapsed="false">
      <c r="A200" s="25" t="s">
        <v>221</v>
      </c>
    </row>
    <row r="201" customFormat="false" ht="23.85" hidden="false" customHeight="false" outlineLevel="0" collapsed="false">
      <c r="A201" s="25" t="s">
        <v>222</v>
      </c>
    </row>
    <row r="202" customFormat="false" ht="12.8" hidden="false" customHeight="false" outlineLevel="0" collapsed="false">
      <c r="A202" s="25" t="s">
        <v>223</v>
      </c>
    </row>
    <row r="203" customFormat="false" ht="12.8" hidden="false" customHeight="false" outlineLevel="0" collapsed="false">
      <c r="A203" s="25" t="s">
        <v>224</v>
      </c>
    </row>
    <row r="204" customFormat="false" ht="12.8" hidden="false" customHeight="false" outlineLevel="0" collapsed="false">
      <c r="A204" s="25" t="s">
        <v>225</v>
      </c>
    </row>
    <row r="205" customFormat="false" ht="12.8" hidden="false" customHeight="false" outlineLevel="0" collapsed="false">
      <c r="A205" s="25" t="s">
        <v>226</v>
      </c>
    </row>
    <row r="206" customFormat="false" ht="23.85" hidden="false" customHeight="false" outlineLevel="0" collapsed="false">
      <c r="A206" s="25" t="s">
        <v>227</v>
      </c>
    </row>
    <row r="207" customFormat="false" ht="12.8" hidden="false" customHeight="false" outlineLevel="0" collapsed="false">
      <c r="A207" s="25" t="s">
        <v>228</v>
      </c>
    </row>
    <row r="208" customFormat="false" ht="12.8" hidden="false" customHeight="false" outlineLevel="0" collapsed="false">
      <c r="A208" s="25" t="s">
        <v>229</v>
      </c>
    </row>
    <row r="209" customFormat="false" ht="23.85" hidden="false" customHeight="false" outlineLevel="0" collapsed="false">
      <c r="A209" s="25" t="s">
        <v>230</v>
      </c>
    </row>
    <row r="210" customFormat="false" ht="12.8" hidden="false" customHeight="false" outlineLevel="0" collapsed="false">
      <c r="A210" s="25" t="s">
        <v>231</v>
      </c>
    </row>
    <row r="211" customFormat="false" ht="23.85" hidden="false" customHeight="false" outlineLevel="0" collapsed="false">
      <c r="A211" s="25" t="s">
        <v>232</v>
      </c>
    </row>
    <row r="212" customFormat="false" ht="23.85" hidden="false" customHeight="false" outlineLevel="0" collapsed="false">
      <c r="A212" s="25" t="s">
        <v>233</v>
      </c>
    </row>
    <row r="213" customFormat="false" ht="23.85" hidden="false" customHeight="false" outlineLevel="0" collapsed="false">
      <c r="A213" s="25" t="s">
        <v>234</v>
      </c>
    </row>
    <row r="214" customFormat="false" ht="23.85" hidden="false" customHeight="false" outlineLevel="0" collapsed="false">
      <c r="A214" s="25" t="s">
        <v>235</v>
      </c>
    </row>
    <row r="215" customFormat="false" ht="23.85" hidden="false" customHeight="false" outlineLevel="0" collapsed="false">
      <c r="A215" s="25" t="s">
        <v>236</v>
      </c>
    </row>
    <row r="216" customFormat="false" ht="23.85" hidden="false" customHeight="false" outlineLevel="0" collapsed="false">
      <c r="A216" s="25" t="s">
        <v>237</v>
      </c>
    </row>
    <row r="217" customFormat="false" ht="23.85" hidden="false" customHeight="false" outlineLevel="0" collapsed="false">
      <c r="A217" s="25" t="s">
        <v>238</v>
      </c>
    </row>
    <row r="218" customFormat="false" ht="35.05" hidden="false" customHeight="false" outlineLevel="0" collapsed="false">
      <c r="A218" s="25" t="s">
        <v>239</v>
      </c>
    </row>
    <row r="219" customFormat="false" ht="12.8" hidden="false" customHeight="false" outlineLevel="0" collapsed="false">
      <c r="A219" s="25" t="s">
        <v>240</v>
      </c>
    </row>
    <row r="220" customFormat="false" ht="35.05" hidden="false" customHeight="false" outlineLevel="0" collapsed="false">
      <c r="A220" s="25" t="s">
        <v>241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Roman,Normal"&amp;12Sida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6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A72" activeCellId="0" sqref="A7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7.18"/>
  </cols>
  <sheetData>
    <row r="1" customFormat="false" ht="14.65" hidden="false" customHeight="false" outlineLevel="0" collapsed="false">
      <c r="A1" s="26" t="s">
        <v>0</v>
      </c>
    </row>
    <row r="2" customFormat="false" ht="14.65" hidden="false" customHeight="false" outlineLevel="0" collapsed="false">
      <c r="A2" s="27" t="s">
        <v>242</v>
      </c>
    </row>
    <row r="3" customFormat="false" ht="14.65" hidden="false" customHeight="false" outlineLevel="0" collapsed="false">
      <c r="A3" s="27" t="s">
        <v>243</v>
      </c>
    </row>
    <row r="4" customFormat="false" ht="14.65" hidden="false" customHeight="false" outlineLevel="0" collapsed="false">
      <c r="A4" s="27" t="s">
        <v>244</v>
      </c>
    </row>
    <row r="5" customFormat="false" ht="14.65" hidden="false" customHeight="false" outlineLevel="0" collapsed="false">
      <c r="A5" s="27" t="s">
        <v>245</v>
      </c>
    </row>
    <row r="6" customFormat="false" ht="14.65" hidden="false" customHeight="false" outlineLevel="0" collapsed="false">
      <c r="A6" s="27" t="s">
        <v>246</v>
      </c>
    </row>
    <row r="7" customFormat="false" ht="14.65" hidden="false" customHeight="false" outlineLevel="0" collapsed="false">
      <c r="A7" s="27" t="s">
        <v>247</v>
      </c>
    </row>
    <row r="8" customFormat="false" ht="14.65" hidden="false" customHeight="false" outlineLevel="0" collapsed="false">
      <c r="A8" s="27" t="s">
        <v>248</v>
      </c>
    </row>
    <row r="9" customFormat="false" ht="14.65" hidden="false" customHeight="false" outlineLevel="0" collapsed="false">
      <c r="A9" s="27" t="s">
        <v>249</v>
      </c>
    </row>
    <row r="10" customFormat="false" ht="14.65" hidden="false" customHeight="false" outlineLevel="0" collapsed="false">
      <c r="A10" s="27" t="s">
        <v>216</v>
      </c>
    </row>
    <row r="11" customFormat="false" ht="14.65" hidden="false" customHeight="false" outlineLevel="0" collapsed="false">
      <c r="A11" s="27" t="s">
        <v>250</v>
      </c>
    </row>
    <row r="12" customFormat="false" ht="14.65" hidden="false" customHeight="false" outlineLevel="0" collapsed="false">
      <c r="A12" s="27" t="s">
        <v>215</v>
      </c>
    </row>
    <row r="13" customFormat="false" ht="14.65" hidden="false" customHeight="false" outlineLevel="0" collapsed="false">
      <c r="A13" s="27" t="s">
        <v>251</v>
      </c>
    </row>
    <row r="14" customFormat="false" ht="14.65" hidden="false" customHeight="false" outlineLevel="0" collapsed="false">
      <c r="A14" s="27" t="s">
        <v>252</v>
      </c>
    </row>
    <row r="15" customFormat="false" ht="14.65" hidden="false" customHeight="false" outlineLevel="0" collapsed="false">
      <c r="A15" s="27" t="s">
        <v>253</v>
      </c>
    </row>
    <row r="16" customFormat="false" ht="14.65" hidden="false" customHeight="false" outlineLevel="0" collapsed="false">
      <c r="A16" s="27" t="s">
        <v>254</v>
      </c>
    </row>
    <row r="17" customFormat="false" ht="14.65" hidden="false" customHeight="false" outlineLevel="0" collapsed="false">
      <c r="A17" s="27" t="s">
        <v>219</v>
      </c>
    </row>
    <row r="18" customFormat="false" ht="14.65" hidden="false" customHeight="false" outlineLevel="0" collapsed="false">
      <c r="A18" s="27" t="s">
        <v>220</v>
      </c>
    </row>
    <row r="19" customFormat="false" ht="14.65" hidden="false" customHeight="false" outlineLevel="0" collapsed="false">
      <c r="A19" s="27" t="s">
        <v>255</v>
      </c>
    </row>
    <row r="20" customFormat="false" ht="14.65" hidden="false" customHeight="false" outlineLevel="0" collapsed="false">
      <c r="A20" s="27" t="s">
        <v>256</v>
      </c>
    </row>
    <row r="21" customFormat="false" ht="14.65" hidden="false" customHeight="false" outlineLevel="0" collapsed="false">
      <c r="A21" s="27" t="s">
        <v>257</v>
      </c>
    </row>
    <row r="22" customFormat="false" ht="14.65" hidden="false" customHeight="false" outlineLevel="0" collapsed="false">
      <c r="A22" s="27" t="s">
        <v>258</v>
      </c>
    </row>
    <row r="23" customFormat="false" ht="14.65" hidden="false" customHeight="false" outlineLevel="0" collapsed="false">
      <c r="A23" s="27" t="s">
        <v>259</v>
      </c>
    </row>
    <row r="24" customFormat="false" ht="14.65" hidden="false" customHeight="false" outlineLevel="0" collapsed="false">
      <c r="A24" s="27" t="s">
        <v>260</v>
      </c>
    </row>
    <row r="25" customFormat="false" ht="14.65" hidden="false" customHeight="false" outlineLevel="0" collapsed="false">
      <c r="A25" s="27" t="s">
        <v>261</v>
      </c>
    </row>
    <row r="26" customFormat="false" ht="14.65" hidden="false" customHeight="false" outlineLevel="0" collapsed="false">
      <c r="A26" s="27" t="s">
        <v>262</v>
      </c>
    </row>
    <row r="27" customFormat="false" ht="14.65" hidden="false" customHeight="false" outlineLevel="0" collapsed="false">
      <c r="A27" s="27" t="s">
        <v>263</v>
      </c>
    </row>
    <row r="28" customFormat="false" ht="14.65" hidden="false" customHeight="false" outlineLevel="0" collapsed="false">
      <c r="A28" s="27" t="s">
        <v>264</v>
      </c>
    </row>
    <row r="29" customFormat="false" ht="14.65" hidden="false" customHeight="false" outlineLevel="0" collapsed="false">
      <c r="A29" s="27" t="s">
        <v>265</v>
      </c>
    </row>
    <row r="30" customFormat="false" ht="14.65" hidden="false" customHeight="false" outlineLevel="0" collapsed="false">
      <c r="A30" s="27" t="s">
        <v>266</v>
      </c>
    </row>
    <row r="31" customFormat="false" ht="14.65" hidden="false" customHeight="false" outlineLevel="0" collapsed="false">
      <c r="A31" s="27" t="s">
        <v>267</v>
      </c>
    </row>
    <row r="32" customFormat="false" ht="14.65" hidden="false" customHeight="false" outlineLevel="0" collapsed="false">
      <c r="A32" s="27" t="s">
        <v>268</v>
      </c>
    </row>
    <row r="33" customFormat="false" ht="14.65" hidden="false" customHeight="false" outlineLevel="0" collapsed="false">
      <c r="A33" s="27" t="s">
        <v>269</v>
      </c>
    </row>
    <row r="34" customFormat="false" ht="14.65" hidden="false" customHeight="false" outlineLevel="0" collapsed="false">
      <c r="A34" s="27" t="s">
        <v>270</v>
      </c>
    </row>
    <row r="35" customFormat="false" ht="14.65" hidden="false" customHeight="false" outlineLevel="0" collapsed="false">
      <c r="A35" s="27" t="s">
        <v>271</v>
      </c>
    </row>
    <row r="36" customFormat="false" ht="14.65" hidden="false" customHeight="false" outlineLevel="0" collapsed="false">
      <c r="A36" s="27" t="s">
        <v>272</v>
      </c>
    </row>
    <row r="37" customFormat="false" ht="14.65" hidden="false" customHeight="false" outlineLevel="0" collapsed="false">
      <c r="A37" s="27" t="s">
        <v>273</v>
      </c>
    </row>
    <row r="38" customFormat="false" ht="14.65" hidden="false" customHeight="false" outlineLevel="0" collapsed="false">
      <c r="A38" s="27" t="s">
        <v>274</v>
      </c>
    </row>
    <row r="39" customFormat="false" ht="14.65" hidden="false" customHeight="false" outlineLevel="0" collapsed="false">
      <c r="A39" s="27" t="s">
        <v>275</v>
      </c>
    </row>
    <row r="40" customFormat="false" ht="14.65" hidden="false" customHeight="false" outlineLevel="0" collapsed="false">
      <c r="A40" s="27" t="s">
        <v>276</v>
      </c>
    </row>
    <row r="41" customFormat="false" ht="14.65" hidden="false" customHeight="false" outlineLevel="0" collapsed="false">
      <c r="A41" s="27" t="s">
        <v>29</v>
      </c>
    </row>
    <row r="42" customFormat="false" ht="14.65" hidden="false" customHeight="false" outlineLevel="0" collapsed="false">
      <c r="A42" s="27" t="s">
        <v>277</v>
      </c>
    </row>
    <row r="43" customFormat="false" ht="14.65" hidden="false" customHeight="false" outlineLevel="0" collapsed="false">
      <c r="A43" s="27" t="s">
        <v>240</v>
      </c>
    </row>
    <row r="44" customFormat="false" ht="14.65" hidden="false" customHeight="false" outlineLevel="0" collapsed="false">
      <c r="A44" s="27" t="s">
        <v>278</v>
      </c>
    </row>
    <row r="45" customFormat="false" ht="14.65" hidden="false" customHeight="false" outlineLevel="0" collapsed="false">
      <c r="A45" s="27" t="s">
        <v>279</v>
      </c>
    </row>
    <row r="46" customFormat="false" ht="14.65" hidden="false" customHeight="false" outlineLevel="0" collapsed="false">
      <c r="A46" s="27" t="s">
        <v>280</v>
      </c>
    </row>
    <row r="47" customFormat="false" ht="14.65" hidden="false" customHeight="false" outlineLevel="0" collapsed="false">
      <c r="A47" s="27" t="s">
        <v>281</v>
      </c>
    </row>
    <row r="48" customFormat="false" ht="14.65" hidden="false" customHeight="false" outlineLevel="0" collapsed="false">
      <c r="A48" s="27" t="s">
        <v>282</v>
      </c>
    </row>
    <row r="49" customFormat="false" ht="14.65" hidden="false" customHeight="false" outlineLevel="0" collapsed="false">
      <c r="A49" s="27" t="s">
        <v>283</v>
      </c>
    </row>
    <row r="50" customFormat="false" ht="14.65" hidden="false" customHeight="false" outlineLevel="0" collapsed="false">
      <c r="A50" s="27" t="s">
        <v>284</v>
      </c>
    </row>
    <row r="51" customFormat="false" ht="14.65" hidden="false" customHeight="false" outlineLevel="0" collapsed="false">
      <c r="A51" s="27" t="s">
        <v>285</v>
      </c>
    </row>
    <row r="52" customFormat="false" ht="14.65" hidden="false" customHeight="false" outlineLevel="0" collapsed="false">
      <c r="A52" s="27" t="s">
        <v>286</v>
      </c>
    </row>
    <row r="53" customFormat="false" ht="14.65" hidden="false" customHeight="false" outlineLevel="0" collapsed="false">
      <c r="A53" s="27" t="s">
        <v>287</v>
      </c>
    </row>
    <row r="54" customFormat="false" ht="14.65" hidden="false" customHeight="false" outlineLevel="0" collapsed="false">
      <c r="A54" s="27" t="s">
        <v>288</v>
      </c>
    </row>
    <row r="55" customFormat="false" ht="14.65" hidden="false" customHeight="false" outlineLevel="0" collapsed="false">
      <c r="A55" s="27" t="s">
        <v>289</v>
      </c>
    </row>
    <row r="56" customFormat="false" ht="14.65" hidden="false" customHeight="false" outlineLevel="0" collapsed="false">
      <c r="A56" s="27" t="s">
        <v>290</v>
      </c>
    </row>
    <row r="57" customFormat="false" ht="14.65" hidden="false" customHeight="false" outlineLevel="0" collapsed="false">
      <c r="A57" s="27" t="s">
        <v>291</v>
      </c>
    </row>
    <row r="58" customFormat="false" ht="14.65" hidden="false" customHeight="false" outlineLevel="0" collapsed="false">
      <c r="A58" s="27" t="s">
        <v>195</v>
      </c>
    </row>
    <row r="59" customFormat="false" ht="14.65" hidden="false" customHeight="false" outlineLevel="0" collapsed="false">
      <c r="A59" s="27" t="s">
        <v>292</v>
      </c>
    </row>
    <row r="60" customFormat="false" ht="14.65" hidden="false" customHeight="false" outlineLevel="0" collapsed="false">
      <c r="A60" s="27" t="s">
        <v>293</v>
      </c>
    </row>
    <row r="61" customFormat="false" ht="14.65" hidden="false" customHeight="false" outlineLevel="0" collapsed="false">
      <c r="A61" s="27" t="s">
        <v>294</v>
      </c>
    </row>
    <row r="62" customFormat="false" ht="14.65" hidden="false" customHeight="false" outlineLevel="0" collapsed="false">
      <c r="A62" s="27" t="s">
        <v>194</v>
      </c>
    </row>
    <row r="63" customFormat="false" ht="14.65" hidden="false" customHeight="false" outlineLevel="0" collapsed="false">
      <c r="A63" s="27" t="s">
        <v>295</v>
      </c>
    </row>
    <row r="64" customFormat="false" ht="14.65" hidden="false" customHeight="false" outlineLevel="0" collapsed="false">
      <c r="A64" s="27" t="s">
        <v>296</v>
      </c>
    </row>
    <row r="65" customFormat="false" ht="14.65" hidden="false" customHeight="false" outlineLevel="0" collapsed="false">
      <c r="A65" s="27" t="s">
        <v>297</v>
      </c>
    </row>
    <row r="66" customFormat="false" ht="14.65" hidden="false" customHeight="false" outlineLevel="0" collapsed="false">
      <c r="A66" s="27" t="s">
        <v>298</v>
      </c>
    </row>
    <row r="67" customFormat="false" ht="14.65" hidden="false" customHeight="false" outlineLevel="0" collapsed="false">
      <c r="A67" s="27" t="s">
        <v>299</v>
      </c>
    </row>
    <row r="68" customFormat="false" ht="14.65" hidden="false" customHeight="false" outlineLevel="0" collapsed="false">
      <c r="A68" s="27" t="s">
        <v>300</v>
      </c>
    </row>
    <row r="69" customFormat="false" ht="14.65" hidden="false" customHeight="false" outlineLevel="0" collapsed="false">
      <c r="A69" s="27" t="s">
        <v>301</v>
      </c>
    </row>
    <row r="70" customFormat="false" ht="14.65" hidden="false" customHeight="false" outlineLevel="0" collapsed="false">
      <c r="A70" s="27" t="s">
        <v>302</v>
      </c>
    </row>
    <row r="71" customFormat="false" ht="14.65" hidden="false" customHeight="false" outlineLevel="0" collapsed="false">
      <c r="A71" s="27" t="s">
        <v>303</v>
      </c>
    </row>
    <row r="72" customFormat="false" ht="14.65" hidden="false" customHeight="false" outlineLevel="0" collapsed="false">
      <c r="A72" s="27" t="s">
        <v>304</v>
      </c>
    </row>
    <row r="73" customFormat="false" ht="14.65" hidden="false" customHeight="false" outlineLevel="0" collapsed="false">
      <c r="A73" s="27" t="s">
        <v>305</v>
      </c>
    </row>
    <row r="74" customFormat="false" ht="14.65" hidden="false" customHeight="false" outlineLevel="0" collapsed="false">
      <c r="A74" s="27" t="s">
        <v>306</v>
      </c>
    </row>
    <row r="75" customFormat="false" ht="14.65" hidden="false" customHeight="false" outlineLevel="0" collapsed="false">
      <c r="A75" s="27" t="s">
        <v>307</v>
      </c>
    </row>
    <row r="76" customFormat="false" ht="14.65" hidden="false" customHeight="false" outlineLevel="0" collapsed="false">
      <c r="A76" s="27" t="s">
        <v>308</v>
      </c>
    </row>
    <row r="77" customFormat="false" ht="14.65" hidden="false" customHeight="false" outlineLevel="0" collapsed="false">
      <c r="A77" s="27" t="s">
        <v>309</v>
      </c>
    </row>
    <row r="78" customFormat="false" ht="14.65" hidden="false" customHeight="false" outlineLevel="0" collapsed="false">
      <c r="A78" s="27" t="s">
        <v>310</v>
      </c>
    </row>
    <row r="79" customFormat="false" ht="14.65" hidden="false" customHeight="false" outlineLevel="0" collapsed="false">
      <c r="A79" s="27" t="s">
        <v>311</v>
      </c>
    </row>
    <row r="80" customFormat="false" ht="14.65" hidden="false" customHeight="false" outlineLevel="0" collapsed="false">
      <c r="A80" s="27" t="s">
        <v>312</v>
      </c>
    </row>
    <row r="81" customFormat="false" ht="14.65" hidden="false" customHeight="false" outlineLevel="0" collapsed="false">
      <c r="A81" s="27" t="s">
        <v>313</v>
      </c>
    </row>
    <row r="82" customFormat="false" ht="14.65" hidden="false" customHeight="false" outlineLevel="0" collapsed="false">
      <c r="A82" s="27" t="s">
        <v>314</v>
      </c>
    </row>
    <row r="83" customFormat="false" ht="14.65" hidden="false" customHeight="false" outlineLevel="0" collapsed="false">
      <c r="A83" s="27" t="s">
        <v>315</v>
      </c>
    </row>
    <row r="84" customFormat="false" ht="14.65" hidden="false" customHeight="false" outlineLevel="0" collapsed="false">
      <c r="A84" s="27" t="s">
        <v>316</v>
      </c>
    </row>
    <row r="85" customFormat="false" ht="14.65" hidden="false" customHeight="false" outlineLevel="0" collapsed="false">
      <c r="A85" s="27" t="s">
        <v>317</v>
      </c>
    </row>
    <row r="86" customFormat="false" ht="14.65" hidden="false" customHeight="false" outlineLevel="0" collapsed="false">
      <c r="A86" s="27" t="s">
        <v>318</v>
      </c>
    </row>
    <row r="87" customFormat="false" ht="14.65" hidden="false" customHeight="false" outlineLevel="0" collapsed="false">
      <c r="A87" s="27" t="s">
        <v>319</v>
      </c>
    </row>
    <row r="88" customFormat="false" ht="14.65" hidden="false" customHeight="false" outlineLevel="0" collapsed="false">
      <c r="A88" s="27" t="s">
        <v>320</v>
      </c>
    </row>
    <row r="89" customFormat="false" ht="14.65" hidden="false" customHeight="false" outlineLevel="0" collapsed="false">
      <c r="A89" s="27" t="s">
        <v>321</v>
      </c>
    </row>
    <row r="90" customFormat="false" ht="14.65" hidden="false" customHeight="false" outlineLevel="0" collapsed="false">
      <c r="A90" s="27" t="s">
        <v>322</v>
      </c>
    </row>
    <row r="91" customFormat="false" ht="14.65" hidden="false" customHeight="false" outlineLevel="0" collapsed="false">
      <c r="A91" s="27" t="s">
        <v>323</v>
      </c>
    </row>
    <row r="92" customFormat="false" ht="14.65" hidden="false" customHeight="false" outlineLevel="0" collapsed="false">
      <c r="A92" s="27" t="s">
        <v>324</v>
      </c>
    </row>
    <row r="93" customFormat="false" ht="14.65" hidden="false" customHeight="false" outlineLevel="0" collapsed="false">
      <c r="A93" s="27" t="s">
        <v>325</v>
      </c>
    </row>
    <row r="94" customFormat="false" ht="14.65" hidden="false" customHeight="false" outlineLevel="0" collapsed="false">
      <c r="A94" s="27" t="s">
        <v>326</v>
      </c>
    </row>
    <row r="95" customFormat="false" ht="14.65" hidden="false" customHeight="false" outlineLevel="0" collapsed="false">
      <c r="A95" s="27" t="s">
        <v>327</v>
      </c>
    </row>
    <row r="96" customFormat="false" ht="14.65" hidden="false" customHeight="false" outlineLevel="0" collapsed="false">
      <c r="A96" s="27" t="s">
        <v>328</v>
      </c>
    </row>
    <row r="97" customFormat="false" ht="14.65" hidden="false" customHeight="false" outlineLevel="0" collapsed="false">
      <c r="A97" s="27" t="s">
        <v>329</v>
      </c>
    </row>
    <row r="98" customFormat="false" ht="14.65" hidden="false" customHeight="false" outlineLevel="0" collapsed="false">
      <c r="A98" s="27" t="s">
        <v>330</v>
      </c>
    </row>
    <row r="99" customFormat="false" ht="14.65" hidden="false" customHeight="false" outlineLevel="0" collapsed="false">
      <c r="A99" s="27" t="s">
        <v>237</v>
      </c>
    </row>
    <row r="100" customFormat="false" ht="14.65" hidden="false" customHeight="false" outlineLevel="0" collapsed="false">
      <c r="A100" s="27" t="s">
        <v>331</v>
      </c>
    </row>
    <row r="101" customFormat="false" ht="14.65" hidden="false" customHeight="false" outlineLevel="0" collapsed="false">
      <c r="A101" s="27" t="s">
        <v>332</v>
      </c>
    </row>
    <row r="102" customFormat="false" ht="14.65" hidden="false" customHeight="false" outlineLevel="0" collapsed="false">
      <c r="A102" s="27" t="s">
        <v>168</v>
      </c>
    </row>
    <row r="103" customFormat="false" ht="14.65" hidden="false" customHeight="false" outlineLevel="0" collapsed="false">
      <c r="A103" s="27" t="s">
        <v>333</v>
      </c>
    </row>
    <row r="104" customFormat="false" ht="14.65" hidden="false" customHeight="false" outlineLevel="0" collapsed="false">
      <c r="A104" s="27" t="s">
        <v>238</v>
      </c>
    </row>
    <row r="105" customFormat="false" ht="14.65" hidden="false" customHeight="false" outlineLevel="0" collapsed="false">
      <c r="A105" s="27" t="s">
        <v>217</v>
      </c>
    </row>
    <row r="106" customFormat="false" ht="14.65" hidden="false" customHeight="false" outlineLevel="0" collapsed="false">
      <c r="A106" s="27" t="s">
        <v>334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Roman,Normal"&amp;12Sida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2025-11-07T23:00:07Z</dcterms:created>
  <dc:creator/>
  <dc:description/>
  <dc:language>sv-SE</dc:language>
  <cp:lastModifiedBy/>
  <dcterms:modified xsi:type="dcterms:W3CDTF">2025-11-08T14:37:38Z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